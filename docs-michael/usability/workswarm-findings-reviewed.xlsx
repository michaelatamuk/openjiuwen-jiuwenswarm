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00645993\Downloads\"/>
    </mc:Choice>
  </mc:AlternateContent>
  <xr:revisionPtr revIDLastSave="0" documentId="8_{4B8AE1B7-9FCD-452C-8FB6-D21D61D27B96}" xr6:coauthVersionLast="47" xr6:coauthVersionMax="47" xr10:uidLastSave="{00000000-0000-0000-0000-000000000000}"/>
  <bookViews>
    <workbookView xWindow="-90" yWindow="-90" windowWidth="25780" windowHeight="13860" tabRatio="500" activeTab="1" xr2:uid="{00000000-000D-0000-FFFF-FFFF00000000}"/>
  </bookViews>
  <sheets>
    <sheet name="Read me" sheetId="1" r:id="rId1"/>
    <sheet name="Findings" sheetId="2" r:id="rId2"/>
    <sheet name="Roll-up" sheetId="3" r:id="rId3"/>
    <sheet name="Merge map" sheetId="4" r:id="rId4"/>
  </sheets>
  <definedNames>
    <definedName name="_xlnm._FilterDatabase" localSheetId="1" hidden="1">Findings!$A$1:$R$116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3" l="1"/>
  <c r="B32" i="3"/>
  <c r="B31" i="3"/>
  <c r="B27" i="3"/>
  <c r="B26" i="3"/>
  <c r="B25" i="3"/>
  <c r="B24" i="3"/>
  <c r="B23" i="3"/>
  <c r="E18" i="3"/>
  <c r="D18" i="3"/>
  <c r="C18" i="3"/>
  <c r="B18" i="3"/>
  <c r="F18" i="3" s="1"/>
  <c r="E17" i="3"/>
  <c r="D17" i="3"/>
  <c r="C17" i="3"/>
  <c r="B17" i="3"/>
  <c r="F17" i="3" s="1"/>
  <c r="E16" i="3"/>
  <c r="D16" i="3"/>
  <c r="C16" i="3"/>
  <c r="B16" i="3"/>
  <c r="F16" i="3" s="1"/>
  <c r="E15" i="3"/>
  <c r="D15" i="3"/>
  <c r="F15" i="3" s="1"/>
  <c r="C15" i="3"/>
  <c r="B15" i="3"/>
  <c r="E14" i="3"/>
  <c r="D14" i="3"/>
  <c r="C14" i="3"/>
  <c r="B14" i="3"/>
  <c r="F14" i="3" s="1"/>
  <c r="E13" i="3"/>
  <c r="D13" i="3"/>
  <c r="C13" i="3"/>
  <c r="B13" i="3"/>
  <c r="F13" i="3" s="1"/>
  <c r="E12" i="3"/>
  <c r="D12" i="3"/>
  <c r="C12" i="3"/>
  <c r="B12" i="3"/>
  <c r="F12" i="3" s="1"/>
  <c r="E11" i="3"/>
  <c r="E19" i="3" s="1"/>
  <c r="D11" i="3"/>
  <c r="D19" i="3" s="1"/>
  <c r="C11" i="3"/>
  <c r="F11" i="3" s="1"/>
  <c r="B11" i="3"/>
  <c r="B19" i="3" s="1"/>
  <c r="E6" i="3"/>
  <c r="D6" i="3"/>
  <c r="C6" i="3"/>
  <c r="B6" i="3"/>
  <c r="F6" i="3" s="1"/>
  <c r="E5" i="3"/>
  <c r="D5" i="3"/>
  <c r="F5" i="3" s="1"/>
  <c r="C5" i="3"/>
  <c r="B5" i="3"/>
  <c r="E4" i="3"/>
  <c r="D4" i="3"/>
  <c r="C4" i="3"/>
  <c r="B4" i="3"/>
  <c r="F4" i="3" s="1"/>
  <c r="E3" i="3"/>
  <c r="E7" i="3" s="1"/>
  <c r="D3" i="3"/>
  <c r="D7" i="3" s="1"/>
  <c r="C3" i="3"/>
  <c r="C7" i="3" s="1"/>
  <c r="B3" i="3"/>
  <c r="B7" i="3" s="1"/>
  <c r="F19" i="3" l="1"/>
  <c r="C19" i="3"/>
  <c r="F3" i="3"/>
  <c r="F7" i="3" s="1"/>
</calcChain>
</file>

<file path=xl/sharedStrings.xml><?xml version="1.0" encoding="utf-8"?>
<sst xmlns="http://schemas.openxmlformats.org/spreadsheetml/2006/main" count="1932" uniqueCount="595">
  <si>
    <t>WorkSwarm usability findings — reviewed and re-categorised</t>
  </si>
  <si>
    <t>Source</t>
  </si>
  <si>
    <t>allfindings.xlsx — 108 findings across 3 sheets, 9 personas, 41 concerns.</t>
  </si>
  <si>
    <t>Reviewed</t>
  </si>
  <si>
    <t>2026-09-10, against openJiuwen-ai/jiuwenswarm @ develop 2026-09-05 (0.2.5.beta1) and agent-core 0.1.17.</t>
  </si>
  <si>
    <t>What changed</t>
  </si>
  <si>
    <t>Every finding keeps its original text. Added: a 4-role / 8-theme taxonomy, a verdict, evidence, competitor position, and impact/effort/priority.</t>
  </si>
  <si>
    <t>Rows added</t>
  </si>
  <si>
    <t>7 findings from the WorkBuddy competitive review had no equivalent row in the source sheet and are appended as #109-#115. The Source column marks them; filter it to separate them from the original 108.</t>
  </si>
  <si>
    <t>Not carried over</t>
  </si>
  <si>
    <t>W6 (spend/budget) is already the COST group, W8 (English parity) is #39/#61/#62, and W9/W10 are portal and marketing copy rather than product findings - see the WorkBuddy response doc for those.</t>
  </si>
  <si>
    <t>ADDED ROWS — what they are</t>
  </si>
  <si>
    <t>#109 (W0)</t>
  </si>
  <si>
    <t>The rename has broken every public install path. pip install jiuwenswarm resolves to 0.2.3 from July; the portal's workswarm-tui is a 404.</t>
  </si>
  <si>
    <t>#110 (W1)</t>
  </si>
  <si>
    <t>A zero-key first run already ships (Opencode Zen free models, on by default) but is undocumented and the README states the opposite.</t>
  </si>
  <si>
    <t>#111 (W2)</t>
  </si>
  <si>
    <t>jiuwenbox sandbox is opt-in and setup never asks which folders it may use. Distinct from #25, which is the approval policy.</t>
  </si>
  <si>
    <t>#112 (W3)</t>
  </si>
  <si>
    <t>Community skills install with no security audit. Distinct from #94, which is ratings and freshness rather than a security scan.</t>
  </si>
  <si>
    <t>#113 (W4)</t>
  </si>
  <si>
    <t>The 26 built-in skills are Huawei engineering tools; roughly four suit the office user the product claims.</t>
  </si>
  <si>
    <t>#114 (W5)</t>
  </si>
  <si>
    <t>The catalogue accepts only its own hub although skills are already SKILL.md. Distinct from #42, which is cross-instance sharing.</t>
  </si>
  <si>
    <t>#115 (W7)</t>
  </si>
  <si>
    <t>Cluster mode is the README default, so a new user's first task takes the slowest and most expensive path.</t>
  </si>
  <si>
    <t>METHOD — verdicts</t>
  </si>
  <si>
    <t>Confirmed</t>
  </si>
  <si>
    <t>Checked against the tree, or a direct restatement of a defect verified elsewhere in this review. Evidence column names the file where one exists.</t>
  </si>
  <si>
    <t>Confirmed (duplicate)</t>
  </si>
  <si>
    <t>Real, but the same defect as another row. See the Dup group column — 10 rows collapse into 6 issues.</t>
  </si>
  <si>
    <t>Partly true</t>
  </si>
  <si>
    <t>The problem is real but narrower than written; partial support already exists. Fixing the stated version would over-build.</t>
  </si>
  <si>
    <t>Overstated</t>
  </si>
  <si>
    <t>The capability largely exists. The finding would send someone to build something already shipped.</t>
  </si>
  <si>
    <t>Asserted - not re-verified</t>
  </si>
  <si>
    <t>Plausible and internally consistent, but not independently checked in this pass. Mostly agent-core SDK documentation claims.</t>
  </si>
  <si>
    <t>METHOD — competitors</t>
  </si>
  <si>
    <t>Sources</t>
  </si>
  <si>
    <t>WorkBuddy: Tencent product pages + third-party reviews (no public source). OpenClaw: docs.openclaw.ai + release notes. Hermes: NousResearch/hermes-agent docs. Treat WorkBuddy detail as approximate.</t>
  </si>
  <si>
    <t>Behind</t>
  </si>
  <si>
    <t>One or more competitors ship this and market it. Absence is a comparison loss.</t>
  </si>
  <si>
    <t>Level</t>
  </si>
  <si>
    <t>Nobody in the set does this well. Fixing it is quality work, not catch-up.</t>
  </si>
  <si>
    <t>Uncontested</t>
  </si>
  <si>
    <t>No competitor has it. Doing it is a differentiator, not table stakes.</t>
  </si>
  <si>
    <t>METHOD — scoring</t>
  </si>
  <si>
    <t>Impact 1-5</t>
  </si>
  <si>
    <t>5 = decides an evaluation or blocks adoption. 3 = visible friction. 1 = polish.</t>
  </si>
  <si>
    <t>Effort S/M/L</t>
  </si>
  <si>
    <t>S = under a day. M = days. L = a sprint or more.</t>
  </si>
  <si>
    <t>Priority</t>
  </si>
  <si>
    <t>P0 ship now · P1 next minor · P2 backlog · P3 nice to have. Set from impact x effort, then adjusted for competitive posture.</t>
  </si>
  <si>
    <t>WHY THE PERSONAS WERE REPLACED</t>
  </si>
  <si>
    <t>The problem</t>
  </si>
  <si>
    <t>Four of the nine personas — Shared, Web User, Web Chat, Web Code — are UI surfaces, not people. Self-hoster, Bot-hoster and Web User are the same person on different days. 41 concerns is more categories than a team can hold.</t>
  </si>
  <si>
    <t>The fix</t>
  </si>
  <si>
    <t>Two axes instead of one. ROLE answers who is blocked; THEME answers what kind of work fixes it. A finding has exactly one of each.</t>
  </si>
  <si>
    <t>ROLES (4)</t>
  </si>
  <si>
    <t>Operator</t>
  </si>
  <si>
    <t>Installs it, configures it, runs it, keeps it alive. Was: Self-hoster, Bot-hoster.</t>
  </si>
  <si>
    <t>End user</t>
  </si>
  <si>
    <t>Does actual work inside the product. Was: Web User, Web Chat, Web Code, most of Shared.</t>
  </si>
  <si>
    <t>Extender</t>
  </si>
  <si>
    <t>Adds capability inside it — rails, skills, channels, plugins. Was: Engine Contributor, Skill Author.</t>
  </si>
  <si>
    <t>Integrator</t>
  </si>
  <si>
    <t>Builds a separate application on top of it, over the API. Was: Product Builder.</t>
  </si>
  <si>
    <t>THEMES (8)</t>
  </si>
  <si>
    <t>1 Get it running</t>
  </si>
  <si>
    <t>Install, config, credentials, first run, ports, upgrade, diagnostics.</t>
  </si>
  <si>
    <t>2 Trust &amp; control</t>
  </si>
  <si>
    <t>Permissions, sandbox, approvals, undo, identity, privacy, blast radius.</t>
  </si>
  <si>
    <t>3 See what happened</t>
  </si>
  <si>
    <t>Trajectory, replay, reasoning, progress, token and cost visibility.</t>
  </si>
  <si>
    <t>4 Do the work</t>
  </si>
  <si>
    <t>Conversation quality, retry and feedback, search, notifications, artifacts, sharing.</t>
  </si>
  <si>
    <t>5 Find your way</t>
  </si>
  <si>
    <t>Naming, information architecture, onboarding, discovery, contextual help.</t>
  </si>
  <si>
    <t>6 Reach &amp; inclusion</t>
  </si>
  <si>
    <t>Translation, accessibility, mobile, keyboard.</t>
  </si>
  <si>
    <t>7 Extend it</t>
  </si>
  <si>
    <t>Rail and tool APIs, skill authoring and testing, marketplace quality, packaging.</t>
  </si>
  <si>
    <t>8 Build on it</t>
  </si>
  <si>
    <t>REST, SDK, protocol schema, webhooks, dev tooling, migration.</t>
  </si>
  <si>
    <t>ID</t>
  </si>
  <si>
    <t>Role</t>
  </si>
  <si>
    <t>Theme</t>
  </si>
  <si>
    <t>Finding</t>
  </si>
  <si>
    <t>Verdict</t>
  </si>
  <si>
    <t>Evidence / note</t>
  </si>
  <si>
    <t>Dup group</t>
  </si>
  <si>
    <t>Impact</t>
  </si>
  <si>
    <t>Effort</t>
  </si>
  <si>
    <t>Posture</t>
  </si>
  <si>
    <t>WorkBuddy</t>
  </si>
  <si>
    <t>OpenClaw</t>
  </si>
  <si>
    <t>Hermes</t>
  </si>
  <si>
    <t>Orig sheet</t>
  </si>
  <si>
    <t>Orig persona</t>
  </si>
  <si>
    <t>Orig concern</t>
  </si>
  <si>
    <t>Original sheet</t>
  </si>
  <si>
    <t>No stable public API or semantic-versioning contract</t>
  </si>
  <si>
    <t>agent-core imported from git SHA; both pkgs 0.x</t>
  </si>
  <si>
    <t>M</t>
  </si>
  <si>
    <t>P1</t>
  </si>
  <si>
    <t>Closed source</t>
  </si>
  <si>
    <t>Documents plugin API + versioned docs</t>
  </si>
  <si>
    <t>Contributors</t>
  </si>
  <si>
    <t>Engine Contributor</t>
  </si>
  <si>
    <t>Extension Documentation &amp; Stability</t>
  </si>
  <si>
    <t>The examples directory is undiscoverable and inconsistent</t>
  </si>
  <si>
    <t>examples/ does exist (examples/harness/*); issue is index+consistency, not absence</t>
  </si>
  <si>
    <t>P2</t>
  </si>
  <si>
    <t>Closed</t>
  </si>
  <si>
    <t>Plugin examples in docs</t>
  </si>
  <si>
    <t>Skill/plugin examples</t>
  </si>
  <si>
    <t>Adding prompt content from a rail is an undocumented hidden API</t>
  </si>
  <si>
    <t>system_prompt_builder.add_section priority model undocumented</t>
  </si>
  <si>
    <t>S</t>
  </si>
  <si>
    <t>Hooks doc names each event</t>
  </si>
  <si>
    <t>pre_llm_call documented w/ ctx.register_hook()</t>
  </si>
  <si>
    <t>Rails &amp; Context API</t>
  </si>
  <si>
    <t>Rail hook execution order can only be learned from source</t>
  </si>
  <si>
    <t>rail hook order + priority semantics only in source</t>
  </si>
  <si>
    <t>Event hooks doc lists firing order</t>
  </si>
  <si>
    <t>Hook order documented</t>
  </si>
  <si>
    <t>The hook context object is undocumented and untyped</t>
  </si>
  <si>
    <t>AgentCallbackContext fields/mutability undocumented</t>
  </si>
  <si>
    <t>ctx documented</t>
  </si>
  <si>
    <t>The rail extension API has no public documentation</t>
  </si>
  <si>
    <t>AgentRail 10 hooks + DeepAgentRail +2, no public reference page; only Chinese docs</t>
  </si>
  <si>
    <t>P0</t>
  </si>
  <si>
    <t>Public plugin/hooks reference</t>
  </si>
  <si>
    <t>The structured error API isn't documented for rail authors</t>
  </si>
  <si>
    <t>raise_error framework undiscoverable; plain exceptions lose recoverable/fatal/code</t>
  </si>
  <si>
    <t>—</t>
  </si>
  <si>
    <t>No CLI to scaffold a new rail or skill</t>
  </si>
  <si>
    <t>no scaffold CLI in pyproject scripts</t>
  </si>
  <si>
    <t>skill-creator (no-code)</t>
  </si>
  <si>
    <t>Plugin scaffold</t>
  </si>
  <si>
    <t>hermes skill create</t>
  </si>
  <si>
    <t>Extension Testing &amp; Tooling</t>
  </si>
  <si>
    <t>No integration test layer between unit tests and a full system</t>
  </si>
  <si>
    <t>only mocked unit tests + full e2e</t>
  </si>
  <si>
    <t>L</t>
  </si>
  <si>
    <t>P3</t>
  </si>
  <si>
    <t>Writing a rail test requires reverse-engineering mock infrastructure</t>
  </si>
  <si>
    <t>MockLLMModel + _make_agent private/undocumented</t>
  </si>
  <si>
    <t>Registering tools from a rail has no developer guide</t>
  </si>
  <si>
    <t>ability_manager.add(ToolCard) only visible in a test file</t>
  </si>
  <si>
    <t>Tool registration documented</t>
  </si>
  <si>
    <t>40+ tools, toolset docs</t>
  </si>
  <si>
    <t>Tools &amp; Agent Factory</t>
  </si>
  <si>
    <t>The agent factory has too many undocumented parameters</t>
  </si>
  <si>
    <t>create_deep_agent has 15+ params (factory.py:455); no param docs</t>
  </si>
  <si>
    <t>Writing a custom channel has no developer guide</t>
  </si>
  <si>
    <t>BaseChannel + 11 reference channels, no CHANNELS.md</t>
  </si>
  <si>
    <t>Channel/gateway docs</t>
  </si>
  <si>
    <t>17 adapters documented</t>
  </si>
  <si>
    <t>Custom Channels</t>
  </si>
  <si>
    <t>User docs are written like internal design notes</t>
  </si>
  <si>
    <t>VERIFIED: Modes.md carries deprecate_mode/plan_entry_source + contradicts itself</t>
  </si>
  <si>
    <t>Clean user/dev doc split</t>
  </si>
  <si>
    <t>Documentation &amp; Stability</t>
  </si>
  <si>
    <t>Docs are invisible to agents evaluating us (no llms.txt)</t>
  </si>
  <si>
    <t>VERIFIED: no llms.txt in either repo</t>
  </si>
  <si>
    <t>Ships llms.txt + llms-full.txt (PR #18276)</t>
  </si>
  <si>
    <t>Data is kept indefinitely with no expiry controls</t>
  </si>
  <si>
    <t>only trajectory_ui.retention_days exists; no conversation/memory expiry</t>
  </si>
  <si>
    <t>Cloud retention policy</t>
  </si>
  <si>
    <t>SQLite sessions + archiving</t>
  </si>
  <si>
    <t>Users</t>
  </si>
  <si>
    <t>Self-hoster</t>
  </si>
  <si>
    <t>Data Retention</t>
  </si>
  <si>
    <t>No hints about what is consuming the context</t>
  </si>
  <si>
    <t>no breakdown of what fills the window</t>
  </si>
  <si>
    <t>COST</t>
  </si>
  <si>
    <t>Context/overhead work in 2026.9.1</t>
  </si>
  <si>
    <t>Cost &amp; Token Economics</t>
  </si>
  <si>
    <t>No visibility into token usage or session cost</t>
  </si>
  <si>
    <t>OVERSTATED: trajectory token-cost timeline exists; missing piece is budget+alerting</t>
  </si>
  <si>
    <t>Credits + 80%/90% alerts</t>
  </si>
  <si>
    <t>Per-session cost</t>
  </si>
  <si>
    <t>Cost-safe loops + session budget</t>
  </si>
  <si>
    <t>Trivial prompts still build the full context</t>
  </si>
  <si>
    <t>full context assembled regardless of prompt size</t>
  </si>
  <si>
    <t>Lower overhead for long conversations</t>
  </si>
  <si>
    <t>Documentation is scattered with no guide for common tasks</t>
  </si>
  <si>
    <t>docs split across YAML comments, /docs, SKILL.md; no task-oriented guide</t>
  </si>
  <si>
    <t>Task-oriented docs site</t>
  </si>
  <si>
    <t>Running &amp; Managing the Instance</t>
  </si>
  <si>
    <t>Logs and config mix languages unpredictably</t>
  </si>
  <si>
    <t>VERIFIED: config.yaml comments alternate zh/en mid-section</t>
  </si>
  <si>
    <t>No visibility into which ports and URLs are in use</t>
  </si>
  <si>
    <t>no port/URL echo after start; silent port fallback</t>
  </si>
  <si>
    <t>Prints gateway URL + health</t>
  </si>
  <si>
    <t>Prints REPL/gateway target</t>
  </si>
  <si>
    <t>Permission rules can only be edited in raw YAML</t>
  </si>
  <si>
    <t>tiered policy is regex YAML only; dialog shows generic 'full access'</t>
  </si>
  <si>
    <t>Permission scoping in Control UI</t>
  </si>
  <si>
    <t>Upgrading can silently break an existing config</t>
  </si>
  <si>
    <t>OVERSTATED: config_version (config.yaml:3) and migrate_config_from_template() both exist; what's missing is a breaking-change changelog</t>
  </si>
  <si>
    <t>Migration on 2.0 upgrade</t>
  </si>
  <si>
    <t>Default permissions are off, contradicting the README</t>
  </si>
  <si>
    <t>VERIFIED: permissions.enabled:false in all 3 templates; README:158 says the opposite</t>
  </si>
  <si>
    <t>Sandbox+approval on by default</t>
  </si>
  <si>
    <t>Ask-first chosen at onboarding</t>
  </si>
  <si>
    <t>Approval engine on</t>
  </si>
  <si>
    <t>Granted permissions are invisible once granted</t>
  </si>
  <si>
    <t>approval_overrides has no in-UI ledger</t>
  </si>
  <si>
    <t>Permission scoping visible</t>
  </si>
  <si>
    <t>Missing optional extras fail when used, not at startup</t>
  </si>
  <si>
    <t>VERIFIED: no extras check in start_services.py</t>
  </si>
  <si>
    <t>Health check at onboarding</t>
  </si>
  <si>
    <t>Single binary - N/A</t>
  </si>
  <si>
    <t>Startup &amp; Configuration</t>
  </si>
  <si>
    <t>Setup ends before credentials are tested</t>
  </si>
  <si>
    <t>ModelSetupGuide tour ends at the models panel</t>
  </si>
  <si>
    <t>SETUP</t>
  </si>
  <si>
    <t>Bundled model, nothing to test</t>
  </si>
  <si>
    <t>Blocks until a live completion succeeds</t>
  </si>
  <si>
    <t>hermes setup validates</t>
  </si>
  <si>
    <t>The config file has no validation or check tool</t>
  </si>
  <si>
    <t>one file: models+memory+channels+permissions+observability+SSH; undocumented ${VAR:-default}</t>
  </si>
  <si>
    <t>Config written by onboarding</t>
  </si>
  <si>
    <t>YAML+env merge, wizard-driven</t>
  </si>
  <si>
    <t>Wrong credentials surface only on the first chat, never at startup</t>
  </si>
  <si>
    <t>same defect as #28</t>
  </si>
  <si>
    <t>Bundled model</t>
  </si>
  <si>
    <t>Live completion gate</t>
  </si>
  <si>
    <t>Wizard validates</t>
  </si>
  <si>
    <t>Headless installs silently become Chinese installs</t>
  </si>
  <si>
    <t>VERIFIED: common/utils.py:536-538 returns 'zh' when stdin is not a TTY</t>
  </si>
  <si>
    <t>--non-interactive with explicit flags</t>
  </si>
  <si>
    <t>Install script is locale-neutral</t>
  </si>
  <si>
    <t>Nothing verifies the model before the first conversation</t>
  </si>
  <si>
    <t>No minimal starting point for config (818 keys)</t>
  </si>
  <si>
    <t>VERIFIED: 1,510 lines / 818 keys / depth 8</t>
  </si>
  <si>
    <t>Config is not the interface</t>
  </si>
  <si>
    <t>Wizard + REPL cover common path</t>
  </si>
  <si>
    <t>Running the CLI without config gives no next step</t>
  </si>
  <si>
    <t>bare CLI with no config gives unclear error; --help has no first-run path</t>
  </si>
  <si>
    <t>onboard is the entry point</t>
  </si>
  <si>
    <t>hermes drops into guided REPL</t>
  </si>
  <si>
    <t>First Run</t>
  </si>
  <si>
    <t>Setup wizard ends before the model is confirmed working</t>
  </si>
  <si>
    <t>You aren't told when a subsystem fails</t>
  </si>
  <si>
    <t>non-critical subsystem failures are silent (memory provider, OTel, channel init)</t>
  </si>
  <si>
    <t>Host status dashboard CPU/mem/disk/uptime</t>
  </si>
  <si>
    <t>Health &amp; Degradation</t>
  </si>
  <si>
    <t>No per-model budget dashboard</t>
  </si>
  <si>
    <t>same need as #18 - budget layer on existing cost data</t>
  </si>
  <si>
    <t>Session budget</t>
  </si>
  <si>
    <t>Cost &amp; Tokens</t>
  </si>
  <si>
    <t>No diagnostic ('doctor') command</t>
  </si>
  <si>
    <t>VERIFIED: no doctor/diagnose entry point in pyproject scripts</t>
  </si>
  <si>
    <t>DOCTOR</t>
  </si>
  <si>
    <t>Gateway health check + status dashboard</t>
  </si>
  <si>
    <t>Single binary removes most failure modes</t>
  </si>
  <si>
    <t>Diagnostics</t>
  </si>
  <si>
    <t>English docs show the Chinese UI</t>
  </si>
  <si>
    <t>VERIFIED: 55 of 144 image refs in docs/en use CJK-named screenshots</t>
  </si>
  <si>
    <t>20+ locales, localized docs</t>
  </si>
  <si>
    <t>Documentation</t>
  </si>
  <si>
    <t>No login on the Web UI: local Web users share one identity</t>
  </si>
  <si>
    <t>VERIFIED: no web auth; only OpenAI account-login helpers in the handler</t>
  </si>
  <si>
    <t>User auth + permission scoping + device pairing</t>
  </si>
  <si>
    <t>Gateway auth</t>
  </si>
  <si>
    <t>Bot-hoster</t>
  </si>
  <si>
    <t>Identity &amp; Isolation</t>
  </si>
  <si>
    <t>No multi-tenancy: every user shares one workspace</t>
  </si>
  <si>
    <t>single-workspace; user_id is routing/logging only</t>
  </si>
  <si>
    <t>Roles + shared cloud sessions</t>
  </si>
  <si>
    <t>Per-platform identity</t>
  </si>
  <si>
    <t>No shared skill library across instances</t>
  </si>
  <si>
    <t>skills are per-workspace; no cross-instance sharing</t>
  </si>
  <si>
    <t>SkillHub + ClawHub</t>
  </si>
  <si>
    <t>Plugin/skill marketplace</t>
  </si>
  <si>
    <t>agentskills.io standard</t>
  </si>
  <si>
    <t>Shared Skill Library</t>
  </si>
  <si>
    <t>Error messages give no explanation or next step</t>
  </si>
  <si>
    <t>bare error strings reached production (cli/render.py:200)</t>
  </si>
  <si>
    <t>Errors explain + recovery options</t>
  </si>
  <si>
    <t>Shared</t>
  </si>
  <si>
    <t>Errors &amp; Feedback</t>
  </si>
  <si>
    <t>No way to rate, retry or correct an agent answer</t>
  </si>
  <si>
    <t>VERIFIED: no thumbs/regenerate on assistant messages - only on ProactiveRecommendationCard</t>
  </si>
  <si>
    <t>Retry/regenerate standard</t>
  </si>
  <si>
    <t>Errors don't point to the log entry with more detail</t>
  </si>
  <si>
    <t>errors don't reference the log entry</t>
  </si>
  <si>
    <t>Logs + diagnostics in Control UI</t>
  </si>
  <si>
    <t>Rate limits and API failures hang or show nothing useful</t>
  </si>
  <si>
    <t>429/503 shows generic error or silent hang; no backoff indicator</t>
  </si>
  <si>
    <t>Reliability/recovery pass in 2026.9.2</t>
  </si>
  <si>
    <t>Cost-safe loop w/ retry</t>
  </si>
  <si>
    <t>Clarification questions appear with no context</t>
  </si>
  <si>
    <t>clarification arrives without the stuck-state context</t>
  </si>
  <si>
    <t>Conversation</t>
  </si>
  <si>
    <t>Long agent replies have no structure aids</t>
  </si>
  <si>
    <t>no ToC / jump / folding on long replies</t>
  </si>
  <si>
    <t>Mermaid + rich chat surfaces</t>
  </si>
  <si>
    <t>No immediate feedback between submit and the first chat event</t>
  </si>
  <si>
    <t>gap is only the pre-first-event window; live progress does exist afterwards</t>
  </si>
  <si>
    <t>No advance warning before context compression</t>
  </si>
  <si>
    <t>ContextCompressionLines already shows it during/after; only advance warning is missing</t>
  </si>
  <si>
    <t>Past conversations can't be searched</t>
  </si>
  <si>
    <t>VERIFIED: no search in SessionSidebar</t>
  </si>
  <si>
    <t>Session groups, filtering, archiving</t>
  </si>
  <si>
    <t>History &amp; Notifications</t>
  </si>
  <si>
    <t>No notification when a long task finishes</t>
  </si>
  <si>
    <t>no desktop notification/sound/badge on completion</t>
  </si>
  <si>
    <t>NOTIFY</t>
  </si>
  <si>
    <t>Background sessions + desktop companion</t>
  </si>
  <si>
    <t>Gateway pushes to chat apps</t>
  </si>
  <si>
    <t>Background tasks look identical to idle sessions</t>
  </si>
  <si>
    <t>background sessions show no activity indicator in the sidebar</t>
  </si>
  <si>
    <t>Running-session indicators</t>
  </si>
  <si>
    <t>Users aren't told what the agent is allowed to do before it acts</t>
  </si>
  <si>
    <t>no pre-session summary of what the agent may do</t>
  </si>
  <si>
    <t>Full-access vs ask-first shown at onboarding</t>
  </si>
  <si>
    <t>Control &amp; Continuity</t>
  </si>
  <si>
    <t>Unclear what the agent does when a session disconnects</t>
  </si>
  <si>
    <t>disconnect behaviour undocumented and invisible; no reconnect flow</t>
  </si>
  <si>
    <t>Background sessions - explicitly solved</t>
  </si>
  <si>
    <t>A crash loses in-progress tasks with no way to resume</t>
  </si>
  <si>
    <t>no checkpointing; crash loses in-progress work</t>
  </si>
  <si>
    <t>SQLite sessions + recovery improvements</t>
  </si>
  <si>
    <t>Users can't see what the agent has remembered</t>
  </si>
  <si>
    <t>PARTLY: a workspace/memory viewer string exists ('View agent workspace files and memory content'); browse/search/edit/delete is the gap</t>
  </si>
  <si>
    <t>Memory import + management</t>
  </si>
  <si>
    <t>8 memory backends</t>
  </si>
  <si>
    <t>Memory &amp; Privacy</t>
  </si>
  <si>
    <t>No way to see what personal data is sent to the model</t>
  </si>
  <si>
    <t>assembled prompt is not inspectable</t>
  </si>
  <si>
    <t>No single command to gather diagnostics for a bug report</t>
  </si>
  <si>
    <t>same need as #38</t>
  </si>
  <si>
    <t>Diagnostics in Control UI</t>
  </si>
  <si>
    <t>Help &amp; Diagnostics</t>
  </si>
  <si>
    <t>No help or tooltips at the point of confusion</t>
  </si>
  <si>
    <t>no field tooltips or contextual '?' links</t>
  </si>
  <si>
    <t>GUI text is not fully translated</t>
  </si>
  <si>
    <t>same defect as #62</t>
  </si>
  <si>
    <t>I18N</t>
  </si>
  <si>
    <t>20+ locales</t>
  </si>
  <si>
    <t>Web User</t>
  </si>
  <si>
    <t>Language</t>
  </si>
  <si>
    <t>The newest features are the least translated</t>
  </si>
  <si>
    <t>VERIFIED: 366 CJK literals in 74 files outside locale bundles</t>
  </si>
  <si>
    <t>20+ locales, synced prefs</t>
  </si>
  <si>
    <t>Settings are organized by code module, not by user task</t>
  </si>
  <si>
    <t>settings modules mirror the codebase, not user goals</t>
  </si>
  <si>
    <t>Task-oriented settings</t>
  </si>
  <si>
    <t>Navigation &amp; Settings</t>
  </si>
  <si>
    <t>Skills and connectors are split apart though they're the same kind of thing</t>
  </si>
  <si>
    <t>Skills and Connector Market are separate top-level items</t>
  </si>
  <si>
    <t>Plugins+skills unified</t>
  </si>
  <si>
    <t>The activity view is hidden behind an unclear name</t>
  </si>
  <si>
    <t>nav item labelled 'TraceHound' - hides the one capability no competitor has</t>
  </si>
  <si>
    <t>Activity view is prominent</t>
  </si>
  <si>
    <t>Empty screen offers no example or next step</t>
  </si>
  <si>
    <t>empty conversation shows a blank input; WelcomeBubble not discoverable</t>
  </si>
  <si>
    <t>Home surface with starting points</t>
  </si>
  <si>
    <t>Discovery &amp; Onboarding</t>
  </si>
  <si>
    <t>No guidance introduces features after first run</t>
  </si>
  <si>
    <t>no post-setup feature introduction</t>
  </si>
  <si>
    <t>Onboarding continues into the app</t>
  </si>
  <si>
    <t>Powerful features exist but are never surfaced</t>
  </si>
  <si>
    <t>trajectory, OTel, debug traces, coding memory, SSH all off with no hint</t>
  </si>
  <si>
    <t>Features surfaced in Control UI</t>
  </si>
  <si>
    <t>Agent modes have no user-facing names or descriptions</t>
  </si>
  <si>
    <t>VERIFIED: modes named from implementation; no tooltip or one-liner</t>
  </si>
  <si>
    <t>Plain-language agent config</t>
  </si>
  <si>
    <t>No high-contrast or large-text option</t>
  </si>
  <si>
    <t>no high-contrast theme, no font-size control</t>
  </si>
  <si>
    <t>Themes + typography options</t>
  </si>
  <si>
    <t>Accessibility</t>
  </si>
  <si>
    <t>No screen-reader support; streaming output isn't announced</t>
  </si>
  <si>
    <t>OVERSTATED: 262 aria-label uses and aria-live present in ChatPanel/InputArea/subagent. Real issue is coverage+audit, not absence</t>
  </si>
  <si>
    <t>The web UI isn't usable as a proper mobile experience</t>
  </si>
  <si>
    <t>3-panel layout collapses poorly at 375px</t>
  </si>
  <si>
    <t>Fuller Android experience (2026.9.1)</t>
  </si>
  <si>
    <t>Mobile</t>
  </si>
  <si>
    <t>No installable or offline (PWA) version</t>
  </si>
  <si>
    <t>VERIFIED: no manifest.json, no service worker</t>
  </si>
  <si>
    <t>Mobile + device pairing</t>
  </si>
  <si>
    <t>No way to see every LLM/tool call and token behind a run</t>
  </si>
  <si>
    <t>trajectory + token-cost timeline already exist; the gap is an interactive span waterfall</t>
  </si>
  <si>
    <t>REPLAY</t>
  </si>
  <si>
    <t>Activity stream (no waterfall)</t>
  </si>
  <si>
    <t>Explanation &amp; Visibility</t>
  </si>
  <si>
    <t>No live picture of how the swarm is coordinating</t>
  </si>
  <si>
    <t>team state is flat lists; no live coordination graph</t>
  </si>
  <si>
    <t>Can't scrub back through what the agent did, turn by turn</t>
  </si>
  <si>
    <t>OVERSTATED: trajectory archive + replay shipped 2026-08-21; per-member lanes and token timeline exist</t>
  </si>
  <si>
    <t>Can't compare versions of a generated artifact</t>
  </si>
  <si>
    <t>artifacts render one at a time; no gallery or version diff</t>
  </si>
  <si>
    <t>Safety &amp; Undo</t>
  </si>
  <si>
    <t>The task list doesn't show progress moving</t>
  </si>
  <si>
    <t>goals/todos are flat rows; no board view</t>
  </si>
  <si>
    <t>Task workspaces (2026.9.2)</t>
  </si>
  <si>
    <t>The agent's output only lands as one final message</t>
  </si>
  <si>
    <t>no live canvas re-rendering as the agent works</t>
  </si>
  <si>
    <t>Home/work surfaces</t>
  </si>
  <si>
    <t>No way to know the agent's state without opening the window</t>
  </si>
  <si>
    <t>desktop half of #52</t>
  </si>
  <si>
    <t>Desktop companion + native toasts</t>
  </si>
  <si>
    <t>No control over reply length or writing style</t>
  </si>
  <si>
    <t>no global or per-message length/style control</t>
  </si>
  <si>
    <t>Style/persona config</t>
  </si>
  <si>
    <t>Persona + style config</t>
  </si>
  <si>
    <t>Web Chat</t>
  </si>
  <si>
    <t>Reply</t>
  </si>
  <si>
    <t>Conversations can only be shared as a flat image</t>
  </si>
  <si>
    <t>shareImageExport PNG is the only share path</t>
  </si>
  <si>
    <t>Share links + shared sessions</t>
  </si>
  <si>
    <t>Sharing</t>
  </si>
  <si>
    <t>Agent reasoning is hidden in a separate panel</t>
  </si>
  <si>
    <t>discoverability half of #65/#76 - reasoning exists, it's in a panel you must know to open</t>
  </si>
  <si>
    <t>Side chat about a run</t>
  </si>
  <si>
    <t>Web Code</t>
  </si>
  <si>
    <t>Explanation</t>
  </si>
  <si>
    <t>Tool calls show what ran but not why</t>
  </si>
  <si>
    <t>ToolCallDisplay shows name/args/result but never the reason for the choice</t>
  </si>
  <si>
    <t>Preamble headlines explain intent</t>
  </si>
  <si>
    <t>File changes are applied with no preview or approval</t>
  </si>
  <si>
    <t>CodeChangesCard exists; unclear whether it previews before or summarizes after - needs a UX decision, not a build</t>
  </si>
  <si>
    <t>Diff preview</t>
  </si>
  <si>
    <t>Destructive external actions fire without confirmation</t>
  </si>
  <si>
    <t>no per-call confirmation for sends/webhooks; permissions can only block a tool entirely</t>
  </si>
  <si>
    <t>Approval gates on sensitive actions</t>
  </si>
  <si>
    <t>Approval engine</t>
  </si>
  <si>
    <t>Sent messages and API calls can't be undone</t>
  </si>
  <si>
    <t>external sends are irreversible with no UI record</t>
  </si>
  <si>
    <t>No step-wise progress or ETA while a skill runs</t>
  </si>
  <si>
    <t>turn-level spinner+timer exist; skill-level step/ETA is the gap</t>
  </si>
  <si>
    <t>Progress indicators</t>
  </si>
  <si>
    <t>Progress</t>
  </si>
  <si>
    <t>The UI can't be driven fully by keyboard</t>
  </si>
  <si>
    <t>PARTLY: 48 onKeyDown handlers exist; claim is unverified coverage, not absence</t>
  </si>
  <si>
    <t>Keyboard</t>
  </si>
  <si>
    <t>Core actions have no keyboard shortcuts</t>
  </si>
  <si>
    <t>only Enter submits; no documented shortcuts</t>
  </si>
  <si>
    <t>Keyboard shortcuts in Control UI</t>
  </si>
  <si>
    <t>Creating a skill has no clear entry point</t>
  </si>
  <si>
    <t>routing between 3 creator skills is hidden inside a SKILL.md; no UI entry</t>
  </si>
  <si>
    <t>skill-creator + 1-click SkillHub install</t>
  </si>
  <si>
    <t>Builders</t>
  </si>
  <si>
    <t>Skill Author</t>
  </si>
  <si>
    <t>Authoring &amp; Testing</t>
  </si>
  <si>
    <t>Skill Python dependencies and conflicts are invisible</t>
  </si>
  <si>
    <t>requirements.txt installed at load with no dependency UI</t>
  </si>
  <si>
    <t>Skills can only be tested through a live chat</t>
  </si>
  <si>
    <t>no sample-input test harness in the UI</t>
  </si>
  <si>
    <t>Marketplace shows no ratings, usage or freshness</t>
  </si>
  <si>
    <t>VERIFIED: no rating/downloads/freshness in MarketplacePage.tsx</t>
  </si>
  <si>
    <t>SkillHub/ClawHub rank by downloads, ratings, freshness; skill-vetter risk grades</t>
  </si>
  <si>
    <t>Marketplace</t>
  </si>
  <si>
    <t>Skill updates can't be reviewed or rolled back</t>
  </si>
  <si>
    <t>skill updates overwrite; no version history or rollback</t>
  </si>
  <si>
    <t>Versioned skill packages</t>
  </si>
  <si>
    <t>Packaging &amp; Distribution</t>
  </si>
  <si>
    <t>No API authentication: fine locally, a real risk once exposed</t>
  </si>
  <si>
    <t>VERIFIED: E2AAuth is carried in the model but never validated</t>
  </si>
  <si>
    <t>Auth + token/password modes</t>
  </si>
  <si>
    <t>Product Builder</t>
  </si>
  <si>
    <t>Connection &amp; Security</t>
  </si>
  <si>
    <t>WebSocket origin checks are off by default and undocumented</t>
  </si>
  <si>
    <t>VERIFIED: ws_origin.is_origin_check_enabled() requires env=='1' - off by default, undocumented</t>
  </si>
  <si>
    <t>One trust boundary per gateway</t>
  </si>
  <si>
    <t>No single answer to what a gateway can reach</t>
  </si>
  <si>
    <t>authority spread over 6 mechanisms + per-channel differences</t>
  </si>
  <si>
    <t>One trust boundary per gateway (2.0 headline)</t>
  </si>
  <si>
    <t>External apps can only reach the agent over WebSocket, with no REST</t>
  </si>
  <si>
    <t>NUANCE: FastAPI is already mounted (container_file_http.py) for file routes - so no agent-level REST, but the stack is there and the fix is cheaper than stated</t>
  </si>
  <si>
    <t>Gateway HTTP + WS</t>
  </si>
  <si>
    <t>REST API + WebSocket + MCP/ACP</t>
  </si>
  <si>
    <t>Transport &amp; Protocol</t>
  </si>
  <si>
    <t>The E2A protocol spec is prose, not a machine-readable schema</t>
  </si>
  <si>
    <t>E2A spec is 2 Markdown files; no JSON Schema/AsyncAPI/type stubs</t>
  </si>
  <si>
    <t>Documented API</t>
  </si>
  <si>
    <t>No published client SDK, so every app re-implements the protocol</t>
  </si>
  <si>
    <t>WebSocketAgentServerClient is internal/unpublished; no JS/TS client</t>
  </si>
  <si>
    <t>Client libraries</t>
  </si>
  <si>
    <t>Published SDK + 17 adapters</t>
  </si>
  <si>
    <t>Session API methods have no documented response shapes</t>
  </si>
  <si>
    <t>~30 session methods with no documented request/response shapes</t>
  </si>
  <si>
    <t>Documented session API</t>
  </si>
  <si>
    <t>Only shell-command hooks exist; there's no real webhook delivery</t>
  </si>
  <si>
    <t>VERIFIED: hooks are type:command/shell only - no HTTP type, retry, HMAC or delivery guarantee</t>
  </si>
  <si>
    <t>Webhooks + integrations</t>
  </si>
  <si>
    <t>Webhook delivery</t>
  </si>
  <si>
    <t>Integration &amp; Tooling</t>
  </si>
  <si>
    <t>No local stub or dev mode for testing integrations</t>
  </si>
  <si>
    <t>no stub/echo/playback/Compose for CI</t>
  </si>
  <si>
    <t>No migration/import path from an existing agent setup</t>
  </si>
  <si>
    <t>CLAUDE.md/AGENTS.md/MCP defs never read at init despite running those runtimes</t>
  </si>
  <si>
    <t>--flow import from Claude Code, Codex, Hermes</t>
  </si>
  <si>
    <t>Browser runs stop at a blocker with nowhere to go</t>
  </si>
  <si>
    <t>blockers detected but no human handoff; unattended runs die</t>
  </si>
  <si>
    <t>The SDK has no reference cron backend</t>
  </si>
  <si>
    <t>VERIFIED: harness/tools/cron.py is protocol+factory only. NOTE: the product ships a full scheduler (~4,500 lines) - this is SDK-only</t>
  </si>
  <si>
    <t>Cron in Control UI</t>
  </si>
  <si>
    <t>Cron scheduling</t>
  </si>
  <si>
    <t>Headline capabilities ship undocumented</t>
  </si>
  <si>
    <t>VERIFIED: no Heartbeat.md / Trajectory.md / Marketplace.md among 53 docs/en files</t>
  </si>
  <si>
    <t>Documented features</t>
  </si>
  <si>
    <t>Added - WorkBuddy review (W0)</t>
  </si>
  <si>
    <t>The in-flight rename has broken every public install path</t>
  </si>
  <si>
    <t>VERIFIED on PyPI: README says `pip install jiuwenswarm` -&gt; resolves to 0.2.3 (2026-07-14) because 0.2.4b3 is a prerelease. Portal says `pip install workswarm-tui` -&gt; 404, does not exist. pyproject.toml already declares name='workswarm'; workswarm 0.2.5 shipped 2026-08-20. Last jiuwenswarm release 2026-08-06 = the day the README's Latest Updates stops.</t>
  </si>
  <si>
    <t>One name, one command</t>
  </si>
  <si>
    <t>One-line installer</t>
  </si>
  <si>
    <t>(added)</t>
  </si>
  <si>
    <t>(not in source sheet)</t>
  </si>
  <si>
    <t>Added - WorkBuddy review (W1)</t>
  </si>
  <si>
    <t>A zero-key first run already ships, but is hidden and the README says the opposite</t>
  </si>
  <si>
    <t>VERIFIED: server/runtime/opencode_zen.py fetches free key-less models at AgentServer start and falls back to deepseek-v4-flash-free; models.enable_free_models ships true; its docstring says the module exists to 'make JiuwenSwarm work out of the box'. Zero mentions in the 53 docs/en files or either portal page - only a settings-toggle tooltip. README:118 says 'A default model is the one piece of configuration you cannot skip.' A recent commit moved free models BELOW paid ones in the picker. Cheapest competitive answer available.</t>
  </si>
  <si>
    <t>5,000 free credits, no API key, working in 2 min</t>
  </si>
  <si>
    <t>Onboarding gates on a live completion</t>
  </si>
  <si>
    <t>Wizard validates provider</t>
  </si>
  <si>
    <t>Added - WorkBuddy review (W2)</t>
  </si>
  <si>
    <t>The sandbox is built but opt-in, and setup never asks which folders it may use</t>
  </si>
  <si>
    <t>VERIFIED: jiuwenbox does Landlock confinement with per-path write allow/deny and command exclusion, but it is opt-in via `/sandbox enable` (docs/en/SlashCommands.md:698). Combined with #25 (permissions.enabled:false) a fresh install has neither gate on. Distinct from #25: that row is the approval policy, this is the execution sandbox plus the missing folder-authorization step. Folder-auth friction is WorkBuddy's most-reported complaint - gather grants once at setup, not per action.</t>
  </si>
  <si>
    <t>Authorized folders + container isolation, on by default</t>
  </si>
  <si>
    <t>Ask-first vs full-access chosen at onboarding</t>
  </si>
  <si>
    <t>Terminal backends incl. Docker/SSH</t>
  </si>
  <si>
    <t>Added - WorkBuddy review (W3)</t>
  </si>
  <si>
    <t>Community skills install with no security audit</t>
  </si>
  <si>
    <t>VERIFIED: no risk/audit/scan stage anywhere in server/runtime/skill/skill_manager.py, and skills install via .zip upload. Until #25/#111 land, unvetted skill code runs with permissions disabled. Adjacent to but distinct from #94 (which is ratings/usage/freshness - quality signals, not a security scan). Parts already exist to build it: shell AST parsing in the permission layer, the tiered severity vocabulary, and /security-review.</t>
  </si>
  <si>
    <t>skill-vetter audits before activation: network calls, credential theft, file access, obfuscation, root - graded LOW/MEDIUM/HIGH/EXTREME</t>
  </si>
  <si>
    <t>Plugin install review</t>
  </si>
  <si>
    <t>Added - WorkBuddy review (W4)</t>
  </si>
  <si>
    <t>The built-in skills are Huawei engineering tools, not office work</t>
  </si>
  <si>
    <t>VERIFIED: 26 built-ins in resources/agent/workspace/skills/ - ascend-moe-optimizer, deepep-to-cam-converter, harmonyos-dev-suite, skvm-jit, gitcode-api and similar. Roughly four an office worker would recognise (advanced-daily-report, ppt-creation, financial-document-parser, openJiuwen-DeepSearch). The first thing a new user opens contradicts the positioning on the front page. Packaging, not engineering.</t>
  </si>
  <si>
    <t>20-30+ office packs (analysis, drafting, reporting), one-click enable</t>
  </si>
  <si>
    <t>Skills marketplace</t>
  </si>
  <si>
    <t>40+ tools, bundled skills</t>
  </si>
  <si>
    <t>Added - WorkBuddy review (W5)</t>
  </si>
  <si>
    <t>The catalogue accepts only its own hub, though the format is already portable</t>
  </si>
  <si>
    <t>VERIFIED: skills are stored as SKILL.md (43 in the tree), the same de-facto standard the wider ecosystem uses - so accepting outside skills is a policy decision, not a port. Competing catalogue-against-catalogue with Tencent is the losing move. Distinct from #42, which is sharing skills across two of your own instances.</t>
  </si>
  <si>
    <t>Imports OpenClaw-format skills; lists ClawHub beside its own SkillHub</t>
  </si>
  <si>
    <t>ClawHub is the reference hub</t>
  </si>
  <si>
    <t>agentskills.io open standard</t>
  </si>
  <si>
    <t>Added - WorkBuddy review (W7)</t>
  </si>
  <si>
    <t>Cluster mode is the default, so the first task is the slowest and most expensive path</t>
  </si>
  <si>
    <t>VERIFIED: README:140 marks Cluster Mode as the default. A new user's very first request therefore goes through leader decomposition and team assembly - the slowest, priciest and most confusing path, at the exact moment they are deciding whether the product works. Cold-start work and sandbox prewarming are undone by the mode default. Distinct from #69 (mode naming) and #19 (context assembly cost).</t>
  </si>
  <si>
    <t>Single fast path by default</t>
  </si>
  <si>
    <t>Single agent by default</t>
  </si>
  <si>
    <t>Single agent REPL by default</t>
  </si>
  <si>
    <t>Findings by role x priority</t>
  </si>
  <si>
    <t>Counts cover all 115 rows (108 original + 7 added).</t>
  </si>
  <si>
    <t>Total</t>
  </si>
  <si>
    <t>Findings by theme x priority</t>
  </si>
  <si>
    <t>Verdict breakdown</t>
  </si>
  <si>
    <t>Count</t>
  </si>
  <si>
    <t>Competitive posture</t>
  </si>
  <si>
    <t>Merge into</t>
  </si>
  <si>
    <t>Also covered by</t>
  </si>
  <si>
    <t>One-line issue</t>
  </si>
  <si>
    <t>#28</t>
  </si>
  <si>
    <t>#30, #32, #35</t>
  </si>
  <si>
    <t>Setup finishes without ever proving the model works. Four rows, one fix.</t>
  </si>
  <si>
    <t>#18</t>
  </si>
  <si>
    <t>#17, #37</t>
  </si>
  <si>
    <t>Cost data already exists in the trajectory timeline; what is missing is a budget, a breakdown and a threshold alert.</t>
  </si>
  <si>
    <t>#38</t>
  </si>
  <si>
    <t>#59</t>
  </si>
  <si>
    <t>One diagnostic command covers both the pass/fail check and the bug-report bundle.</t>
  </si>
  <si>
    <t>#62</t>
  </si>
  <si>
    <t>#61</t>
  </si>
  <si>
    <t>One backlog: move the 366 literals into the locale bundles and add a CI lint.</t>
  </si>
  <si>
    <t>#76</t>
  </si>
  <si>
    <t>#74, #83</t>
  </si>
  <si>
    <t>Replay already shipped. The real defects are discoverability (#65) and the missing span waterfall — not the absence of replay.</t>
  </si>
  <si>
    <t>#52</t>
  </si>
  <si>
    <t>#80</t>
  </si>
  <si>
    <t>Web notification and desktop tray/toast are one feature with two surfaces.</t>
  </si>
  <si>
    <t>Net: 108 original rows -&gt; 98 distinct issues; plus 7 added rows = 105 tracked issues.</t>
  </si>
  <si>
    <t>Adjacent but NOT duplicates - keep both</t>
  </si>
  <si>
    <t>Added row</t>
  </si>
  <si>
    <t>Looks like</t>
  </si>
  <si>
    <t>Why they are different</t>
  </si>
  <si>
    <t>#111</t>
  </si>
  <si>
    <t>#25</t>
  </si>
  <si>
    <t>#25 is the approval policy being off; #111 is the execution sandbox being opt-in and no folder-authorization step at setup.</t>
  </si>
  <si>
    <t>#112</t>
  </si>
  <si>
    <t>#94</t>
  </si>
  <si>
    <t>#94 is marketplace quality signals (ratings, downloads, freshness); #112 is a security audit run before a skill is allowed to execute.</t>
  </si>
  <si>
    <t>#114</t>
  </si>
  <si>
    <t>#42</t>
  </si>
  <si>
    <t>#42 is sharing skills between two of your own instances; #114 is accepting skills authored for another product.</t>
  </si>
  <si>
    <t>#115</t>
  </si>
  <si>
    <t>#69</t>
  </si>
  <si>
    <t>#69 is that mode names are meaningless; #115 is that the default mode is the wrong one for a first task.</t>
  </si>
  <si>
    <t>#110</t>
  </si>
  <si>
    <t>#28 is that setup never proves the model works; #110 is that a working key-less model already ships and is hidden.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</si>
</sst>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E36C0A"/>
      <name val="Arial"/>
      <charset val="1"/>
    </font>
    <font>
      <b/>
      <sz val="10"/>
      <color rgb="FF7F7F7F"/>
      <name val="Arial"/>
      <charset val="1"/>
    </font>
    <font>
      <b/>
      <sz val="10"/>
      <color rgb="FFC00000"/>
      <name val="Arial"/>
      <charset val="1"/>
    </font>
    <font>
      <b/>
      <sz val="10"/>
      <color rgb="FFBFBFBF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i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3" fillId="0" borderId="0" xfId="0" applyFont="1"/>
    <xf numFmtId="0" fontId="10" fillId="0" borderId="0" xfId="0" applyFont="1"/>
    <xf numFmtId="0" fontId="0" fillId="2" borderId="0" xfId="0" applyFill="1"/>
    <xf numFmtId="0" fontId="4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4" fillId="2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36C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104" customWidth="1"/>
  </cols>
  <sheetData>
    <row r="1" spans="1:2" ht="18" x14ac:dyDescent="0.35">
      <c r="A1" s="1" t="s">
        <v>0</v>
      </c>
      <c r="B1" s="2"/>
    </row>
    <row r="2" spans="1:2" x14ac:dyDescent="0.35">
      <c r="A2" s="3"/>
      <c r="B2" s="2"/>
    </row>
    <row r="3" spans="1:2" x14ac:dyDescent="0.35">
      <c r="A3" s="4" t="s">
        <v>1</v>
      </c>
      <c r="B3" s="5" t="s">
        <v>2</v>
      </c>
    </row>
    <row r="4" spans="1:2" x14ac:dyDescent="0.35">
      <c r="A4" s="4" t="s">
        <v>3</v>
      </c>
      <c r="B4" s="5" t="s">
        <v>4</v>
      </c>
    </row>
    <row r="5" spans="1:2" ht="25" x14ac:dyDescent="0.35">
      <c r="A5" s="4" t="s">
        <v>5</v>
      </c>
      <c r="B5" s="5" t="s">
        <v>6</v>
      </c>
    </row>
    <row r="6" spans="1:2" ht="25" x14ac:dyDescent="0.35">
      <c r="A6" s="4" t="s">
        <v>7</v>
      </c>
      <c r="B6" s="5" t="s">
        <v>8</v>
      </c>
    </row>
    <row r="7" spans="1:2" ht="25" x14ac:dyDescent="0.35">
      <c r="A7" s="4" t="s">
        <v>9</v>
      </c>
      <c r="B7" s="5" t="s">
        <v>10</v>
      </c>
    </row>
    <row r="8" spans="1:2" x14ac:dyDescent="0.35">
      <c r="A8" s="3"/>
      <c r="B8" s="2"/>
    </row>
    <row r="9" spans="1:2" x14ac:dyDescent="0.35">
      <c r="A9" s="6" t="s">
        <v>11</v>
      </c>
      <c r="B9" s="2"/>
    </row>
    <row r="10" spans="1:2" ht="25" x14ac:dyDescent="0.35">
      <c r="A10" s="4" t="s">
        <v>12</v>
      </c>
      <c r="B10" s="5" t="s">
        <v>13</v>
      </c>
    </row>
    <row r="11" spans="1:2" ht="25" x14ac:dyDescent="0.35">
      <c r="A11" s="4" t="s">
        <v>14</v>
      </c>
      <c r="B11" s="5" t="s">
        <v>15</v>
      </c>
    </row>
    <row r="12" spans="1:2" x14ac:dyDescent="0.35">
      <c r="A12" s="4" t="s">
        <v>16</v>
      </c>
      <c r="B12" s="5" t="s">
        <v>17</v>
      </c>
    </row>
    <row r="13" spans="1:2" x14ac:dyDescent="0.35">
      <c r="A13" s="4" t="s">
        <v>18</v>
      </c>
      <c r="B13" s="5" t="s">
        <v>19</v>
      </c>
    </row>
    <row r="14" spans="1:2" x14ac:dyDescent="0.35">
      <c r="A14" s="4" t="s">
        <v>20</v>
      </c>
      <c r="B14" s="5" t="s">
        <v>21</v>
      </c>
    </row>
    <row r="15" spans="1:2" ht="25" x14ac:dyDescent="0.35">
      <c r="A15" s="4" t="s">
        <v>22</v>
      </c>
      <c r="B15" s="5" t="s">
        <v>23</v>
      </c>
    </row>
    <row r="16" spans="1:2" x14ac:dyDescent="0.35">
      <c r="A16" s="4" t="s">
        <v>24</v>
      </c>
      <c r="B16" s="5" t="s">
        <v>25</v>
      </c>
    </row>
    <row r="17" spans="1:2" x14ac:dyDescent="0.35">
      <c r="A17" s="3"/>
      <c r="B17" s="2"/>
    </row>
    <row r="18" spans="1:2" x14ac:dyDescent="0.35">
      <c r="A18" s="6" t="s">
        <v>26</v>
      </c>
      <c r="B18" s="2"/>
    </row>
    <row r="19" spans="1:2" ht="25" x14ac:dyDescent="0.35">
      <c r="A19" s="4" t="s">
        <v>27</v>
      </c>
      <c r="B19" s="5" t="s">
        <v>28</v>
      </c>
    </row>
    <row r="20" spans="1:2" x14ac:dyDescent="0.35">
      <c r="A20" s="4" t="s">
        <v>29</v>
      </c>
      <c r="B20" s="5" t="s">
        <v>30</v>
      </c>
    </row>
    <row r="21" spans="1:2" x14ac:dyDescent="0.35">
      <c r="A21" s="4" t="s">
        <v>31</v>
      </c>
      <c r="B21" s="5" t="s">
        <v>32</v>
      </c>
    </row>
    <row r="22" spans="1:2" x14ac:dyDescent="0.35">
      <c r="A22" s="4" t="s">
        <v>33</v>
      </c>
      <c r="B22" s="5" t="s">
        <v>34</v>
      </c>
    </row>
    <row r="23" spans="1:2" x14ac:dyDescent="0.35">
      <c r="A23" s="4" t="s">
        <v>35</v>
      </c>
      <c r="B23" s="5" t="s">
        <v>36</v>
      </c>
    </row>
    <row r="24" spans="1:2" x14ac:dyDescent="0.35">
      <c r="A24" s="3"/>
      <c r="B24" s="2"/>
    </row>
    <row r="25" spans="1:2" x14ac:dyDescent="0.35">
      <c r="A25" s="6" t="s">
        <v>37</v>
      </c>
      <c r="B25" s="2"/>
    </row>
    <row r="26" spans="1:2" ht="25" x14ac:dyDescent="0.35">
      <c r="A26" s="4" t="s">
        <v>38</v>
      </c>
      <c r="B26" s="5" t="s">
        <v>39</v>
      </c>
    </row>
    <row r="27" spans="1:2" x14ac:dyDescent="0.35">
      <c r="A27" s="4" t="s">
        <v>40</v>
      </c>
      <c r="B27" s="5" t="s">
        <v>41</v>
      </c>
    </row>
    <row r="28" spans="1:2" x14ac:dyDescent="0.35">
      <c r="A28" s="4" t="s">
        <v>42</v>
      </c>
      <c r="B28" s="5" t="s">
        <v>43</v>
      </c>
    </row>
    <row r="29" spans="1:2" x14ac:dyDescent="0.35">
      <c r="A29" s="4" t="s">
        <v>44</v>
      </c>
      <c r="B29" s="5" t="s">
        <v>45</v>
      </c>
    </row>
    <row r="30" spans="1:2" x14ac:dyDescent="0.35">
      <c r="A30" s="3"/>
      <c r="B30" s="2"/>
    </row>
    <row r="31" spans="1:2" x14ac:dyDescent="0.35">
      <c r="A31" s="6" t="s">
        <v>46</v>
      </c>
      <c r="B31" s="2"/>
    </row>
    <row r="32" spans="1:2" x14ac:dyDescent="0.35">
      <c r="A32" s="4" t="s">
        <v>47</v>
      </c>
      <c r="B32" s="5" t="s">
        <v>48</v>
      </c>
    </row>
    <row r="33" spans="1:2" x14ac:dyDescent="0.35">
      <c r="A33" s="4" t="s">
        <v>49</v>
      </c>
      <c r="B33" s="5" t="s">
        <v>50</v>
      </c>
    </row>
    <row r="34" spans="1:2" x14ac:dyDescent="0.35">
      <c r="A34" s="4" t="s">
        <v>51</v>
      </c>
      <c r="B34" s="5" t="s">
        <v>52</v>
      </c>
    </row>
    <row r="35" spans="1:2" x14ac:dyDescent="0.35">
      <c r="A35" s="3"/>
      <c r="B35" s="2"/>
    </row>
    <row r="36" spans="1:2" x14ac:dyDescent="0.35">
      <c r="A36" s="6" t="s">
        <v>53</v>
      </c>
      <c r="B36" s="2"/>
    </row>
    <row r="37" spans="1:2" ht="25" x14ac:dyDescent="0.35">
      <c r="A37" s="4" t="s">
        <v>54</v>
      </c>
      <c r="B37" s="5" t="s">
        <v>55</v>
      </c>
    </row>
    <row r="38" spans="1:2" ht="25" x14ac:dyDescent="0.35">
      <c r="A38" s="4" t="s">
        <v>56</v>
      </c>
      <c r="B38" s="5" t="s">
        <v>57</v>
      </c>
    </row>
    <row r="39" spans="1:2" x14ac:dyDescent="0.35">
      <c r="A39" s="3"/>
      <c r="B39" s="2"/>
    </row>
    <row r="40" spans="1:2" x14ac:dyDescent="0.35">
      <c r="A40" s="6" t="s">
        <v>58</v>
      </c>
      <c r="B40" s="2"/>
    </row>
    <row r="41" spans="1:2" x14ac:dyDescent="0.35">
      <c r="A41" s="4" t="s">
        <v>59</v>
      </c>
      <c r="B41" s="5" t="s">
        <v>60</v>
      </c>
    </row>
    <row r="42" spans="1:2" x14ac:dyDescent="0.35">
      <c r="A42" s="4" t="s">
        <v>61</v>
      </c>
      <c r="B42" s="5" t="s">
        <v>62</v>
      </c>
    </row>
    <row r="43" spans="1:2" x14ac:dyDescent="0.35">
      <c r="A43" s="4" t="s">
        <v>63</v>
      </c>
      <c r="B43" s="5" t="s">
        <v>64</v>
      </c>
    </row>
    <row r="44" spans="1:2" x14ac:dyDescent="0.35">
      <c r="A44" s="4" t="s">
        <v>65</v>
      </c>
      <c r="B44" s="5" t="s">
        <v>66</v>
      </c>
    </row>
    <row r="45" spans="1:2" x14ac:dyDescent="0.35">
      <c r="A45" s="3"/>
      <c r="B45" s="2"/>
    </row>
    <row r="46" spans="1:2" x14ac:dyDescent="0.35">
      <c r="A46" s="6" t="s">
        <v>67</v>
      </c>
      <c r="B46" s="2"/>
    </row>
    <row r="47" spans="1:2" x14ac:dyDescent="0.35">
      <c r="A47" s="4" t="s">
        <v>68</v>
      </c>
      <c r="B47" s="5" t="s">
        <v>69</v>
      </c>
    </row>
    <row r="48" spans="1:2" x14ac:dyDescent="0.35">
      <c r="A48" s="4" t="s">
        <v>70</v>
      </c>
      <c r="B48" s="5" t="s">
        <v>71</v>
      </c>
    </row>
    <row r="49" spans="1:2" x14ac:dyDescent="0.35">
      <c r="A49" s="4" t="s">
        <v>72</v>
      </c>
      <c r="B49" s="5" t="s">
        <v>73</v>
      </c>
    </row>
    <row r="50" spans="1:2" x14ac:dyDescent="0.35">
      <c r="A50" s="4" t="s">
        <v>74</v>
      </c>
      <c r="B50" s="5" t="s">
        <v>75</v>
      </c>
    </row>
    <row r="51" spans="1:2" x14ac:dyDescent="0.35">
      <c r="A51" s="4" t="s">
        <v>76</v>
      </c>
      <c r="B51" s="5" t="s">
        <v>77</v>
      </c>
    </row>
    <row r="52" spans="1:2" x14ac:dyDescent="0.35">
      <c r="A52" s="4" t="s">
        <v>78</v>
      </c>
      <c r="B52" s="5" t="s">
        <v>79</v>
      </c>
    </row>
    <row r="53" spans="1:2" x14ac:dyDescent="0.35">
      <c r="A53" s="4" t="s">
        <v>80</v>
      </c>
      <c r="B53" s="5" t="s">
        <v>81</v>
      </c>
    </row>
    <row r="54" spans="1:2" x14ac:dyDescent="0.35">
      <c r="A54" s="4" t="s">
        <v>82</v>
      </c>
      <c r="B54" s="5" t="s">
        <v>83</v>
      </c>
    </row>
    <row r="55" spans="1:2" x14ac:dyDescent="0.35">
      <c r="A55" s="3"/>
      <c r="B5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6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ColWidth="8.6328125" defaultRowHeight="14.5" x14ac:dyDescent="0.35"/>
  <cols>
    <col min="1" max="1" width="5" customWidth="1"/>
    <col min="2" max="2" width="11" customWidth="1"/>
    <col min="3" max="3" width="20" customWidth="1"/>
    <col min="4" max="4" width="22" customWidth="1"/>
    <col min="5" max="5" width="46" customWidth="1"/>
    <col min="6" max="6" width="20" customWidth="1"/>
    <col min="7" max="7" width="62" customWidth="1"/>
    <col min="8" max="8" width="10" customWidth="1"/>
    <col min="9" max="10" width="7" customWidth="1"/>
    <col min="11" max="11" width="8" customWidth="1"/>
    <col min="12" max="12" width="13" customWidth="1"/>
    <col min="13" max="13" width="30" customWidth="1"/>
    <col min="14" max="14" width="34" customWidth="1"/>
    <col min="15" max="15" width="30" customWidth="1"/>
    <col min="16" max="16" width="13" customWidth="1"/>
    <col min="17" max="17" width="17" customWidth="1"/>
    <col min="18" max="18" width="26" customWidth="1"/>
  </cols>
  <sheetData>
    <row r="1" spans="1:18" x14ac:dyDescent="0.35">
      <c r="A1" s="7" t="s">
        <v>84</v>
      </c>
      <c r="B1" s="7" t="s">
        <v>85</v>
      </c>
      <c r="C1" s="7" t="s">
        <v>86</v>
      </c>
      <c r="D1" s="7" t="s">
        <v>1</v>
      </c>
      <c r="E1" s="7" t="s">
        <v>87</v>
      </c>
      <c r="F1" s="7" t="s">
        <v>88</v>
      </c>
      <c r="G1" s="7" t="s">
        <v>89</v>
      </c>
      <c r="H1" s="7" t="s">
        <v>90</v>
      </c>
      <c r="I1" s="7" t="s">
        <v>91</v>
      </c>
      <c r="J1" s="7" t="s">
        <v>92</v>
      </c>
      <c r="K1" s="7" t="s">
        <v>51</v>
      </c>
      <c r="L1" s="7" t="s">
        <v>93</v>
      </c>
      <c r="M1" s="7" t="s">
        <v>94</v>
      </c>
      <c r="N1" s="7" t="s">
        <v>95</v>
      </c>
      <c r="O1" s="7" t="s">
        <v>96</v>
      </c>
      <c r="P1" s="7" t="s">
        <v>97</v>
      </c>
      <c r="Q1" s="7" t="s">
        <v>98</v>
      </c>
      <c r="R1" s="7" t="s">
        <v>99</v>
      </c>
    </row>
    <row r="2" spans="1:18" ht="48" customHeight="1" x14ac:dyDescent="0.35">
      <c r="A2" s="8">
        <v>1</v>
      </c>
      <c r="B2" s="8" t="s">
        <v>63</v>
      </c>
      <c r="C2" s="8" t="s">
        <v>80</v>
      </c>
      <c r="D2" s="8" t="s">
        <v>100</v>
      </c>
      <c r="E2" s="8" t="s">
        <v>101</v>
      </c>
      <c r="F2" s="9" t="s">
        <v>35</v>
      </c>
      <c r="G2" s="8" t="s">
        <v>102</v>
      </c>
      <c r="H2" s="8"/>
      <c r="I2" s="8">
        <v>4</v>
      </c>
      <c r="J2" s="8" t="s">
        <v>103</v>
      </c>
      <c r="K2" s="10" t="s">
        <v>104</v>
      </c>
      <c r="L2" s="11" t="s">
        <v>40</v>
      </c>
      <c r="M2" s="8" t="s">
        <v>105</v>
      </c>
      <c r="N2" s="8" t="s">
        <v>106</v>
      </c>
      <c r="O2" s="8" t="s">
        <v>106</v>
      </c>
      <c r="P2" s="8" t="s">
        <v>107</v>
      </c>
      <c r="Q2" s="8" t="s">
        <v>108</v>
      </c>
      <c r="R2" s="8" t="s">
        <v>109</v>
      </c>
    </row>
    <row r="3" spans="1:18" ht="48" customHeight="1" x14ac:dyDescent="0.35">
      <c r="A3" s="8">
        <v>2</v>
      </c>
      <c r="B3" s="8" t="s">
        <v>63</v>
      </c>
      <c r="C3" s="8" t="s">
        <v>80</v>
      </c>
      <c r="D3" s="8" t="s">
        <v>100</v>
      </c>
      <c r="E3" s="8" t="s">
        <v>110</v>
      </c>
      <c r="F3" s="12" t="s">
        <v>31</v>
      </c>
      <c r="G3" s="8" t="s">
        <v>111</v>
      </c>
      <c r="H3" s="8"/>
      <c r="I3" s="8">
        <v>3</v>
      </c>
      <c r="J3" s="8" t="s">
        <v>103</v>
      </c>
      <c r="K3" s="13" t="s">
        <v>112</v>
      </c>
      <c r="L3" s="11" t="s">
        <v>40</v>
      </c>
      <c r="M3" s="8" t="s">
        <v>113</v>
      </c>
      <c r="N3" s="8" t="s">
        <v>114</v>
      </c>
      <c r="O3" s="8" t="s">
        <v>115</v>
      </c>
      <c r="P3" s="8" t="s">
        <v>107</v>
      </c>
      <c r="Q3" s="8" t="s">
        <v>108</v>
      </c>
      <c r="R3" s="8" t="s">
        <v>109</v>
      </c>
    </row>
    <row r="4" spans="1:18" ht="48" customHeight="1" x14ac:dyDescent="0.35">
      <c r="A4" s="8">
        <v>3</v>
      </c>
      <c r="B4" s="8" t="s">
        <v>63</v>
      </c>
      <c r="C4" s="8" t="s">
        <v>80</v>
      </c>
      <c r="D4" s="8" t="s">
        <v>100</v>
      </c>
      <c r="E4" s="8" t="s">
        <v>116</v>
      </c>
      <c r="F4" s="9" t="s">
        <v>35</v>
      </c>
      <c r="G4" s="8" t="s">
        <v>117</v>
      </c>
      <c r="H4" s="8"/>
      <c r="I4" s="8">
        <v>4</v>
      </c>
      <c r="J4" s="8" t="s">
        <v>118</v>
      </c>
      <c r="K4" s="10" t="s">
        <v>104</v>
      </c>
      <c r="L4" s="11" t="s">
        <v>40</v>
      </c>
      <c r="M4" s="8" t="s">
        <v>113</v>
      </c>
      <c r="N4" s="8" t="s">
        <v>119</v>
      </c>
      <c r="O4" s="8" t="s">
        <v>120</v>
      </c>
      <c r="P4" s="8" t="s">
        <v>107</v>
      </c>
      <c r="Q4" s="8" t="s">
        <v>108</v>
      </c>
      <c r="R4" s="8" t="s">
        <v>121</v>
      </c>
    </row>
    <row r="5" spans="1:18" ht="48" customHeight="1" x14ac:dyDescent="0.35">
      <c r="A5" s="8">
        <v>4</v>
      </c>
      <c r="B5" s="8" t="s">
        <v>63</v>
      </c>
      <c r="C5" s="8" t="s">
        <v>80</v>
      </c>
      <c r="D5" s="8" t="s">
        <v>100</v>
      </c>
      <c r="E5" s="8" t="s">
        <v>122</v>
      </c>
      <c r="F5" s="9" t="s">
        <v>35</v>
      </c>
      <c r="G5" s="8" t="s">
        <v>123</v>
      </c>
      <c r="H5" s="8"/>
      <c r="I5" s="8">
        <v>4</v>
      </c>
      <c r="J5" s="8" t="s">
        <v>118</v>
      </c>
      <c r="K5" s="10" t="s">
        <v>104</v>
      </c>
      <c r="L5" s="11" t="s">
        <v>40</v>
      </c>
      <c r="M5" s="8" t="s">
        <v>113</v>
      </c>
      <c r="N5" s="8" t="s">
        <v>124</v>
      </c>
      <c r="O5" s="8" t="s">
        <v>125</v>
      </c>
      <c r="P5" s="8" t="s">
        <v>107</v>
      </c>
      <c r="Q5" s="8" t="s">
        <v>108</v>
      </c>
      <c r="R5" s="8" t="s">
        <v>121</v>
      </c>
    </row>
    <row r="6" spans="1:18" ht="48" customHeight="1" x14ac:dyDescent="0.35">
      <c r="A6" s="8">
        <v>5</v>
      </c>
      <c r="B6" s="8" t="s">
        <v>63</v>
      </c>
      <c r="C6" s="8" t="s">
        <v>80</v>
      </c>
      <c r="D6" s="8" t="s">
        <v>100</v>
      </c>
      <c r="E6" s="8" t="s">
        <v>126</v>
      </c>
      <c r="F6" s="9" t="s">
        <v>35</v>
      </c>
      <c r="G6" s="8" t="s">
        <v>127</v>
      </c>
      <c r="H6" s="8"/>
      <c r="I6" s="8">
        <v>3</v>
      </c>
      <c r="J6" s="8" t="s">
        <v>103</v>
      </c>
      <c r="K6" s="13" t="s">
        <v>112</v>
      </c>
      <c r="L6" s="11" t="s">
        <v>40</v>
      </c>
      <c r="M6" s="8" t="s">
        <v>113</v>
      </c>
      <c r="N6" s="8" t="s">
        <v>128</v>
      </c>
      <c r="O6" s="8" t="s">
        <v>128</v>
      </c>
      <c r="P6" s="8" t="s">
        <v>107</v>
      </c>
      <c r="Q6" s="8" t="s">
        <v>108</v>
      </c>
      <c r="R6" s="8" t="s">
        <v>121</v>
      </c>
    </row>
    <row r="7" spans="1:18" ht="48" customHeight="1" x14ac:dyDescent="0.35">
      <c r="A7" s="8">
        <v>6</v>
      </c>
      <c r="B7" s="8" t="s">
        <v>63</v>
      </c>
      <c r="C7" s="8" t="s">
        <v>80</v>
      </c>
      <c r="D7" s="8" t="s">
        <v>100</v>
      </c>
      <c r="E7" s="8" t="s">
        <v>129</v>
      </c>
      <c r="F7" s="14" t="s">
        <v>27</v>
      </c>
      <c r="G7" s="8" t="s">
        <v>130</v>
      </c>
      <c r="H7" s="8"/>
      <c r="I7" s="8">
        <v>5</v>
      </c>
      <c r="J7" s="8" t="s">
        <v>103</v>
      </c>
      <c r="K7" s="15" t="s">
        <v>131</v>
      </c>
      <c r="L7" s="11" t="s">
        <v>40</v>
      </c>
      <c r="M7" s="8" t="s">
        <v>113</v>
      </c>
      <c r="N7" s="8" t="s">
        <v>132</v>
      </c>
      <c r="O7" s="8" t="s">
        <v>132</v>
      </c>
      <c r="P7" s="8" t="s">
        <v>107</v>
      </c>
      <c r="Q7" s="8" t="s">
        <v>108</v>
      </c>
      <c r="R7" s="8" t="s">
        <v>121</v>
      </c>
    </row>
    <row r="8" spans="1:18" ht="48" customHeight="1" x14ac:dyDescent="0.35">
      <c r="A8" s="8">
        <v>7</v>
      </c>
      <c r="B8" s="8" t="s">
        <v>63</v>
      </c>
      <c r="C8" s="8" t="s">
        <v>80</v>
      </c>
      <c r="D8" s="8" t="s">
        <v>100</v>
      </c>
      <c r="E8" s="8" t="s">
        <v>133</v>
      </c>
      <c r="F8" s="9" t="s">
        <v>35</v>
      </c>
      <c r="G8" s="8" t="s">
        <v>134</v>
      </c>
      <c r="H8" s="8"/>
      <c r="I8" s="8">
        <v>3</v>
      </c>
      <c r="J8" s="8" t="s">
        <v>118</v>
      </c>
      <c r="K8" s="13" t="s">
        <v>112</v>
      </c>
      <c r="L8" s="16" t="s">
        <v>42</v>
      </c>
      <c r="M8" s="8" t="s">
        <v>113</v>
      </c>
      <c r="N8" s="8" t="s">
        <v>135</v>
      </c>
      <c r="O8" s="8" t="s">
        <v>135</v>
      </c>
      <c r="P8" s="8" t="s">
        <v>107</v>
      </c>
      <c r="Q8" s="8" t="s">
        <v>108</v>
      </c>
      <c r="R8" s="8" t="s">
        <v>121</v>
      </c>
    </row>
    <row r="9" spans="1:18" ht="48" customHeight="1" x14ac:dyDescent="0.35">
      <c r="A9" s="8">
        <v>8</v>
      </c>
      <c r="B9" s="8" t="s">
        <v>63</v>
      </c>
      <c r="C9" s="8" t="s">
        <v>80</v>
      </c>
      <c r="D9" s="8" t="s">
        <v>100</v>
      </c>
      <c r="E9" s="8" t="s">
        <v>136</v>
      </c>
      <c r="F9" s="14" t="s">
        <v>27</v>
      </c>
      <c r="G9" s="8" t="s">
        <v>137</v>
      </c>
      <c r="H9" s="8"/>
      <c r="I9" s="8">
        <v>3</v>
      </c>
      <c r="J9" s="8" t="s">
        <v>103</v>
      </c>
      <c r="K9" s="13" t="s">
        <v>112</v>
      </c>
      <c r="L9" s="11" t="s">
        <v>40</v>
      </c>
      <c r="M9" s="8" t="s">
        <v>138</v>
      </c>
      <c r="N9" s="8" t="s">
        <v>139</v>
      </c>
      <c r="O9" s="8" t="s">
        <v>140</v>
      </c>
      <c r="P9" s="8" t="s">
        <v>107</v>
      </c>
      <c r="Q9" s="8" t="s">
        <v>108</v>
      </c>
      <c r="R9" s="8" t="s">
        <v>141</v>
      </c>
    </row>
    <row r="10" spans="1:18" ht="48" customHeight="1" x14ac:dyDescent="0.35">
      <c r="A10" s="8">
        <v>9</v>
      </c>
      <c r="B10" s="8" t="s">
        <v>63</v>
      </c>
      <c r="C10" s="8" t="s">
        <v>80</v>
      </c>
      <c r="D10" s="8" t="s">
        <v>100</v>
      </c>
      <c r="E10" s="8" t="s">
        <v>142</v>
      </c>
      <c r="F10" s="9" t="s">
        <v>35</v>
      </c>
      <c r="G10" s="8" t="s">
        <v>143</v>
      </c>
      <c r="H10" s="8"/>
      <c r="I10" s="8">
        <v>3</v>
      </c>
      <c r="J10" s="8" t="s">
        <v>144</v>
      </c>
      <c r="K10" s="17" t="s">
        <v>145</v>
      </c>
      <c r="L10" s="16" t="s">
        <v>42</v>
      </c>
      <c r="M10" s="8" t="s">
        <v>135</v>
      </c>
      <c r="N10" s="8" t="s">
        <v>135</v>
      </c>
      <c r="O10" s="8" t="s">
        <v>135</v>
      </c>
      <c r="P10" s="8" t="s">
        <v>107</v>
      </c>
      <c r="Q10" s="8" t="s">
        <v>108</v>
      </c>
      <c r="R10" s="8" t="s">
        <v>141</v>
      </c>
    </row>
    <row r="11" spans="1:18" ht="48" customHeight="1" x14ac:dyDescent="0.35">
      <c r="A11" s="8">
        <v>10</v>
      </c>
      <c r="B11" s="8" t="s">
        <v>63</v>
      </c>
      <c r="C11" s="8" t="s">
        <v>80</v>
      </c>
      <c r="D11" s="8" t="s">
        <v>100</v>
      </c>
      <c r="E11" s="8" t="s">
        <v>146</v>
      </c>
      <c r="F11" s="9" t="s">
        <v>35</v>
      </c>
      <c r="G11" s="8" t="s">
        <v>147</v>
      </c>
      <c r="H11" s="8"/>
      <c r="I11" s="8">
        <v>2</v>
      </c>
      <c r="J11" s="8" t="s">
        <v>118</v>
      </c>
      <c r="K11" s="13" t="s">
        <v>112</v>
      </c>
      <c r="L11" s="16" t="s">
        <v>42</v>
      </c>
      <c r="M11" s="8" t="s">
        <v>135</v>
      </c>
      <c r="N11" s="8" t="s">
        <v>135</v>
      </c>
      <c r="O11" s="8" t="s">
        <v>135</v>
      </c>
      <c r="P11" s="8" t="s">
        <v>107</v>
      </c>
      <c r="Q11" s="8" t="s">
        <v>108</v>
      </c>
      <c r="R11" s="8" t="s">
        <v>141</v>
      </c>
    </row>
    <row r="12" spans="1:18" ht="48" customHeight="1" x14ac:dyDescent="0.35">
      <c r="A12" s="8">
        <v>11</v>
      </c>
      <c r="B12" s="8" t="s">
        <v>63</v>
      </c>
      <c r="C12" s="8" t="s">
        <v>80</v>
      </c>
      <c r="D12" s="8" t="s">
        <v>100</v>
      </c>
      <c r="E12" s="8" t="s">
        <v>148</v>
      </c>
      <c r="F12" s="9" t="s">
        <v>35</v>
      </c>
      <c r="G12" s="8" t="s">
        <v>149</v>
      </c>
      <c r="H12" s="8"/>
      <c r="I12" s="8">
        <v>4</v>
      </c>
      <c r="J12" s="8" t="s">
        <v>118</v>
      </c>
      <c r="K12" s="10" t="s">
        <v>104</v>
      </c>
      <c r="L12" s="11" t="s">
        <v>40</v>
      </c>
      <c r="M12" s="8" t="s">
        <v>113</v>
      </c>
      <c r="N12" s="8" t="s">
        <v>150</v>
      </c>
      <c r="O12" s="8" t="s">
        <v>151</v>
      </c>
      <c r="P12" s="8" t="s">
        <v>107</v>
      </c>
      <c r="Q12" s="8" t="s">
        <v>108</v>
      </c>
      <c r="R12" s="8" t="s">
        <v>152</v>
      </c>
    </row>
    <row r="13" spans="1:18" ht="48" customHeight="1" x14ac:dyDescent="0.35">
      <c r="A13" s="8">
        <v>12</v>
      </c>
      <c r="B13" s="8" t="s">
        <v>63</v>
      </c>
      <c r="C13" s="8" t="s">
        <v>80</v>
      </c>
      <c r="D13" s="8" t="s">
        <v>100</v>
      </c>
      <c r="E13" s="8" t="s">
        <v>153</v>
      </c>
      <c r="F13" s="14" t="s">
        <v>27</v>
      </c>
      <c r="G13" s="8" t="s">
        <v>154</v>
      </c>
      <c r="H13" s="8"/>
      <c r="I13" s="8">
        <v>4</v>
      </c>
      <c r="J13" s="8" t="s">
        <v>118</v>
      </c>
      <c r="K13" s="10" t="s">
        <v>104</v>
      </c>
      <c r="L13" s="11" t="s">
        <v>40</v>
      </c>
      <c r="M13" s="8" t="s">
        <v>113</v>
      </c>
      <c r="N13" s="8" t="s">
        <v>135</v>
      </c>
      <c r="O13" s="8" t="s">
        <v>135</v>
      </c>
      <c r="P13" s="8" t="s">
        <v>107</v>
      </c>
      <c r="Q13" s="8" t="s">
        <v>108</v>
      </c>
      <c r="R13" s="8" t="s">
        <v>152</v>
      </c>
    </row>
    <row r="14" spans="1:18" ht="48" customHeight="1" x14ac:dyDescent="0.35">
      <c r="A14" s="8">
        <v>13</v>
      </c>
      <c r="B14" s="8" t="s">
        <v>63</v>
      </c>
      <c r="C14" s="8" t="s">
        <v>80</v>
      </c>
      <c r="D14" s="8" t="s">
        <v>100</v>
      </c>
      <c r="E14" s="8" t="s">
        <v>155</v>
      </c>
      <c r="F14" s="14" t="s">
        <v>27</v>
      </c>
      <c r="G14" s="8" t="s">
        <v>156</v>
      </c>
      <c r="H14" s="8"/>
      <c r="I14" s="8">
        <v>3</v>
      </c>
      <c r="J14" s="8" t="s">
        <v>103</v>
      </c>
      <c r="K14" s="13" t="s">
        <v>112</v>
      </c>
      <c r="L14" s="11" t="s">
        <v>40</v>
      </c>
      <c r="M14" s="8" t="s">
        <v>113</v>
      </c>
      <c r="N14" s="8" t="s">
        <v>157</v>
      </c>
      <c r="O14" s="8" t="s">
        <v>158</v>
      </c>
      <c r="P14" s="8" t="s">
        <v>107</v>
      </c>
      <c r="Q14" s="8" t="s">
        <v>108</v>
      </c>
      <c r="R14" s="8" t="s">
        <v>159</v>
      </c>
    </row>
    <row r="15" spans="1:18" ht="48" customHeight="1" x14ac:dyDescent="0.35">
      <c r="A15" s="8">
        <v>14</v>
      </c>
      <c r="B15" s="8" t="s">
        <v>63</v>
      </c>
      <c r="C15" s="8" t="s">
        <v>80</v>
      </c>
      <c r="D15" s="8" t="s">
        <v>100</v>
      </c>
      <c r="E15" s="8" t="s">
        <v>160</v>
      </c>
      <c r="F15" s="14" t="s">
        <v>27</v>
      </c>
      <c r="G15" s="8" t="s">
        <v>161</v>
      </c>
      <c r="H15" s="8"/>
      <c r="I15" s="8">
        <v>4</v>
      </c>
      <c r="J15" s="8" t="s">
        <v>103</v>
      </c>
      <c r="K15" s="10" t="s">
        <v>104</v>
      </c>
      <c r="L15" s="11" t="s">
        <v>40</v>
      </c>
      <c r="M15" s="8" t="s">
        <v>113</v>
      </c>
      <c r="N15" s="8" t="s">
        <v>162</v>
      </c>
      <c r="O15" s="8" t="s">
        <v>162</v>
      </c>
      <c r="P15" s="8" t="s">
        <v>107</v>
      </c>
      <c r="Q15" s="8" t="s">
        <v>108</v>
      </c>
      <c r="R15" s="8" t="s">
        <v>163</v>
      </c>
    </row>
    <row r="16" spans="1:18" ht="48" customHeight="1" x14ac:dyDescent="0.35">
      <c r="A16" s="8">
        <v>15</v>
      </c>
      <c r="B16" s="8" t="s">
        <v>63</v>
      </c>
      <c r="C16" s="8" t="s">
        <v>80</v>
      </c>
      <c r="D16" s="8" t="s">
        <v>100</v>
      </c>
      <c r="E16" s="8" t="s">
        <v>164</v>
      </c>
      <c r="F16" s="14" t="s">
        <v>27</v>
      </c>
      <c r="G16" s="8" t="s">
        <v>165</v>
      </c>
      <c r="H16" s="8"/>
      <c r="I16" s="8">
        <v>4</v>
      </c>
      <c r="J16" s="8" t="s">
        <v>118</v>
      </c>
      <c r="K16" s="10" t="s">
        <v>104</v>
      </c>
      <c r="L16" s="11" t="s">
        <v>40</v>
      </c>
      <c r="M16" s="8" t="s">
        <v>113</v>
      </c>
      <c r="N16" s="8" t="s">
        <v>135</v>
      </c>
      <c r="O16" s="8" t="s">
        <v>166</v>
      </c>
      <c r="P16" s="8" t="s">
        <v>107</v>
      </c>
      <c r="Q16" s="8" t="s">
        <v>108</v>
      </c>
      <c r="R16" s="8" t="s">
        <v>163</v>
      </c>
    </row>
    <row r="17" spans="1:18" ht="48" customHeight="1" x14ac:dyDescent="0.35">
      <c r="A17" s="8">
        <v>16</v>
      </c>
      <c r="B17" s="8" t="s">
        <v>59</v>
      </c>
      <c r="C17" s="8" t="s">
        <v>70</v>
      </c>
      <c r="D17" s="8" t="s">
        <v>100</v>
      </c>
      <c r="E17" s="8" t="s">
        <v>167</v>
      </c>
      <c r="F17" s="14" t="s">
        <v>27</v>
      </c>
      <c r="G17" s="8" t="s">
        <v>168</v>
      </c>
      <c r="H17" s="8"/>
      <c r="I17" s="8">
        <v>3</v>
      </c>
      <c r="J17" s="8" t="s">
        <v>103</v>
      </c>
      <c r="K17" s="13" t="s">
        <v>112</v>
      </c>
      <c r="L17" s="11" t="s">
        <v>40</v>
      </c>
      <c r="M17" s="8" t="s">
        <v>169</v>
      </c>
      <c r="N17" s="8" t="s">
        <v>170</v>
      </c>
      <c r="O17" s="8" t="s">
        <v>135</v>
      </c>
      <c r="P17" s="8" t="s">
        <v>171</v>
      </c>
      <c r="Q17" s="8" t="s">
        <v>172</v>
      </c>
      <c r="R17" s="8" t="s">
        <v>173</v>
      </c>
    </row>
    <row r="18" spans="1:18" ht="48" customHeight="1" x14ac:dyDescent="0.35">
      <c r="A18" s="8">
        <v>17</v>
      </c>
      <c r="B18" s="8" t="s">
        <v>61</v>
      </c>
      <c r="C18" s="8" t="s">
        <v>72</v>
      </c>
      <c r="D18" s="8" t="s">
        <v>100</v>
      </c>
      <c r="E18" s="8" t="s">
        <v>174</v>
      </c>
      <c r="F18" s="14" t="s">
        <v>27</v>
      </c>
      <c r="G18" s="8" t="s">
        <v>175</v>
      </c>
      <c r="H18" s="8" t="s">
        <v>176</v>
      </c>
      <c r="I18" s="8">
        <v>3</v>
      </c>
      <c r="J18" s="8" t="s">
        <v>103</v>
      </c>
      <c r="K18" s="13" t="s">
        <v>112</v>
      </c>
      <c r="L18" s="11" t="s">
        <v>40</v>
      </c>
      <c r="M18" s="8" t="s">
        <v>135</v>
      </c>
      <c r="N18" s="8" t="s">
        <v>177</v>
      </c>
      <c r="O18" s="8" t="s">
        <v>135</v>
      </c>
      <c r="P18" s="8" t="s">
        <v>171</v>
      </c>
      <c r="Q18" s="8" t="s">
        <v>172</v>
      </c>
      <c r="R18" s="8" t="s">
        <v>178</v>
      </c>
    </row>
    <row r="19" spans="1:18" ht="48" customHeight="1" x14ac:dyDescent="0.35">
      <c r="A19" s="8">
        <v>18</v>
      </c>
      <c r="B19" s="8" t="s">
        <v>61</v>
      </c>
      <c r="C19" s="8" t="s">
        <v>72</v>
      </c>
      <c r="D19" s="8" t="s">
        <v>100</v>
      </c>
      <c r="E19" s="8" t="s">
        <v>179</v>
      </c>
      <c r="F19" s="12" t="s">
        <v>31</v>
      </c>
      <c r="G19" s="8" t="s">
        <v>180</v>
      </c>
      <c r="H19" s="8" t="s">
        <v>176</v>
      </c>
      <c r="I19" s="8">
        <v>4</v>
      </c>
      <c r="J19" s="8" t="s">
        <v>103</v>
      </c>
      <c r="K19" s="10" t="s">
        <v>104</v>
      </c>
      <c r="L19" s="11" t="s">
        <v>40</v>
      </c>
      <c r="M19" s="8" t="s">
        <v>181</v>
      </c>
      <c r="N19" s="8" t="s">
        <v>182</v>
      </c>
      <c r="O19" s="8" t="s">
        <v>183</v>
      </c>
      <c r="P19" s="8" t="s">
        <v>171</v>
      </c>
      <c r="Q19" s="8" t="s">
        <v>172</v>
      </c>
      <c r="R19" s="8" t="s">
        <v>178</v>
      </c>
    </row>
    <row r="20" spans="1:18" ht="48" customHeight="1" x14ac:dyDescent="0.35">
      <c r="A20" s="8">
        <v>19</v>
      </c>
      <c r="B20" s="8" t="s">
        <v>59</v>
      </c>
      <c r="C20" s="8" t="s">
        <v>72</v>
      </c>
      <c r="D20" s="8" t="s">
        <v>100</v>
      </c>
      <c r="E20" s="8" t="s">
        <v>184</v>
      </c>
      <c r="F20" s="9" t="s">
        <v>35</v>
      </c>
      <c r="G20" s="8" t="s">
        <v>185</v>
      </c>
      <c r="H20" s="8"/>
      <c r="I20" s="8">
        <v>3</v>
      </c>
      <c r="J20" s="8" t="s">
        <v>144</v>
      </c>
      <c r="K20" s="13" t="s">
        <v>112</v>
      </c>
      <c r="L20" s="16" t="s">
        <v>42</v>
      </c>
      <c r="M20" s="8" t="s">
        <v>135</v>
      </c>
      <c r="N20" s="8" t="s">
        <v>186</v>
      </c>
      <c r="O20" s="8" t="s">
        <v>135</v>
      </c>
      <c r="P20" s="8" t="s">
        <v>171</v>
      </c>
      <c r="Q20" s="8" t="s">
        <v>172</v>
      </c>
      <c r="R20" s="8" t="s">
        <v>178</v>
      </c>
    </row>
    <row r="21" spans="1:18" ht="48" customHeight="1" x14ac:dyDescent="0.35">
      <c r="A21" s="8">
        <v>20</v>
      </c>
      <c r="B21" s="8" t="s">
        <v>59</v>
      </c>
      <c r="C21" s="8" t="s">
        <v>76</v>
      </c>
      <c r="D21" s="8" t="s">
        <v>100</v>
      </c>
      <c r="E21" s="8" t="s">
        <v>187</v>
      </c>
      <c r="F21" s="14" t="s">
        <v>27</v>
      </c>
      <c r="G21" s="8" t="s">
        <v>188</v>
      </c>
      <c r="H21" s="8"/>
      <c r="I21" s="8">
        <v>3</v>
      </c>
      <c r="J21" s="8" t="s">
        <v>103</v>
      </c>
      <c r="K21" s="13" t="s">
        <v>112</v>
      </c>
      <c r="L21" s="11" t="s">
        <v>40</v>
      </c>
      <c r="M21" s="8" t="s">
        <v>135</v>
      </c>
      <c r="N21" s="8" t="s">
        <v>189</v>
      </c>
      <c r="O21" s="8" t="s">
        <v>189</v>
      </c>
      <c r="P21" s="8" t="s">
        <v>171</v>
      </c>
      <c r="Q21" s="8" t="s">
        <v>172</v>
      </c>
      <c r="R21" s="8" t="s">
        <v>190</v>
      </c>
    </row>
    <row r="22" spans="1:18" ht="48" customHeight="1" x14ac:dyDescent="0.35">
      <c r="A22" s="8">
        <v>21</v>
      </c>
      <c r="B22" s="8" t="s">
        <v>59</v>
      </c>
      <c r="C22" s="8" t="s">
        <v>78</v>
      </c>
      <c r="D22" s="8" t="s">
        <v>100</v>
      </c>
      <c r="E22" s="8" t="s">
        <v>191</v>
      </c>
      <c r="F22" s="14" t="s">
        <v>27</v>
      </c>
      <c r="G22" s="8" t="s">
        <v>192</v>
      </c>
      <c r="H22" s="8"/>
      <c r="I22" s="8">
        <v>3</v>
      </c>
      <c r="J22" s="8" t="s">
        <v>103</v>
      </c>
      <c r="K22" s="13" t="s">
        <v>112</v>
      </c>
      <c r="L22" s="11" t="s">
        <v>40</v>
      </c>
      <c r="M22" s="8" t="s">
        <v>135</v>
      </c>
      <c r="N22" s="8" t="s">
        <v>135</v>
      </c>
      <c r="O22" s="8" t="s">
        <v>135</v>
      </c>
      <c r="P22" s="8" t="s">
        <v>171</v>
      </c>
      <c r="Q22" s="8" t="s">
        <v>172</v>
      </c>
      <c r="R22" s="8" t="s">
        <v>190</v>
      </c>
    </row>
    <row r="23" spans="1:18" ht="48" customHeight="1" x14ac:dyDescent="0.35">
      <c r="A23" s="8">
        <v>22</v>
      </c>
      <c r="B23" s="8" t="s">
        <v>59</v>
      </c>
      <c r="C23" s="8" t="s">
        <v>68</v>
      </c>
      <c r="D23" s="8" t="s">
        <v>100</v>
      </c>
      <c r="E23" s="8" t="s">
        <v>193</v>
      </c>
      <c r="F23" s="14" t="s">
        <v>27</v>
      </c>
      <c r="G23" s="8" t="s">
        <v>194</v>
      </c>
      <c r="H23" s="8"/>
      <c r="I23" s="8">
        <v>4</v>
      </c>
      <c r="J23" s="8" t="s">
        <v>118</v>
      </c>
      <c r="K23" s="10" t="s">
        <v>104</v>
      </c>
      <c r="L23" s="11" t="s">
        <v>40</v>
      </c>
      <c r="M23" s="8" t="s">
        <v>135</v>
      </c>
      <c r="N23" s="8" t="s">
        <v>195</v>
      </c>
      <c r="O23" s="8" t="s">
        <v>196</v>
      </c>
      <c r="P23" s="8" t="s">
        <v>171</v>
      </c>
      <c r="Q23" s="8" t="s">
        <v>172</v>
      </c>
      <c r="R23" s="8" t="s">
        <v>190</v>
      </c>
    </row>
    <row r="24" spans="1:18" ht="48" customHeight="1" x14ac:dyDescent="0.35">
      <c r="A24" s="8">
        <v>23</v>
      </c>
      <c r="B24" s="8" t="s">
        <v>59</v>
      </c>
      <c r="C24" s="8" t="s">
        <v>70</v>
      </c>
      <c r="D24" s="8" t="s">
        <v>100</v>
      </c>
      <c r="E24" s="8" t="s">
        <v>197</v>
      </c>
      <c r="F24" s="14" t="s">
        <v>27</v>
      </c>
      <c r="G24" s="8" t="s">
        <v>198</v>
      </c>
      <c r="H24" s="8"/>
      <c r="I24" s="8">
        <v>4</v>
      </c>
      <c r="J24" s="8" t="s">
        <v>103</v>
      </c>
      <c r="K24" s="10" t="s">
        <v>104</v>
      </c>
      <c r="L24" s="11" t="s">
        <v>40</v>
      </c>
      <c r="M24" s="8" t="s">
        <v>135</v>
      </c>
      <c r="N24" s="8" t="s">
        <v>199</v>
      </c>
      <c r="O24" s="8" t="s">
        <v>135</v>
      </c>
      <c r="P24" s="8" t="s">
        <v>171</v>
      </c>
      <c r="Q24" s="8" t="s">
        <v>172</v>
      </c>
      <c r="R24" s="8" t="s">
        <v>190</v>
      </c>
    </row>
    <row r="25" spans="1:18" ht="48" customHeight="1" x14ac:dyDescent="0.35">
      <c r="A25" s="8">
        <v>24</v>
      </c>
      <c r="B25" s="8" t="s">
        <v>59</v>
      </c>
      <c r="C25" s="8" t="s">
        <v>68</v>
      </c>
      <c r="D25" s="8" t="s">
        <v>100</v>
      </c>
      <c r="E25" s="8" t="s">
        <v>200</v>
      </c>
      <c r="F25" s="12" t="s">
        <v>31</v>
      </c>
      <c r="G25" s="8" t="s">
        <v>201</v>
      </c>
      <c r="H25" s="8"/>
      <c r="I25" s="8">
        <v>3</v>
      </c>
      <c r="J25" s="8" t="s">
        <v>118</v>
      </c>
      <c r="K25" s="13" t="s">
        <v>112</v>
      </c>
      <c r="L25" s="16" t="s">
        <v>42</v>
      </c>
      <c r="M25" s="8" t="s">
        <v>135</v>
      </c>
      <c r="N25" s="8" t="s">
        <v>202</v>
      </c>
      <c r="O25" s="8" t="s">
        <v>135</v>
      </c>
      <c r="P25" s="8" t="s">
        <v>171</v>
      </c>
      <c r="Q25" s="8" t="s">
        <v>172</v>
      </c>
      <c r="R25" s="8" t="s">
        <v>190</v>
      </c>
    </row>
    <row r="26" spans="1:18" ht="48" customHeight="1" x14ac:dyDescent="0.35">
      <c r="A26" s="8">
        <v>25</v>
      </c>
      <c r="B26" s="8" t="s">
        <v>59</v>
      </c>
      <c r="C26" s="8" t="s">
        <v>70</v>
      </c>
      <c r="D26" s="8" t="s">
        <v>100</v>
      </c>
      <c r="E26" s="8" t="s">
        <v>203</v>
      </c>
      <c r="F26" s="14" t="s">
        <v>27</v>
      </c>
      <c r="G26" s="8" t="s">
        <v>204</v>
      </c>
      <c r="H26" s="8"/>
      <c r="I26" s="8">
        <v>5</v>
      </c>
      <c r="J26" s="8" t="s">
        <v>118</v>
      </c>
      <c r="K26" s="15" t="s">
        <v>131</v>
      </c>
      <c r="L26" s="11" t="s">
        <v>40</v>
      </c>
      <c r="M26" s="8" t="s">
        <v>205</v>
      </c>
      <c r="N26" s="8" t="s">
        <v>206</v>
      </c>
      <c r="O26" s="8" t="s">
        <v>207</v>
      </c>
      <c r="P26" s="8" t="s">
        <v>171</v>
      </c>
      <c r="Q26" s="8" t="s">
        <v>172</v>
      </c>
      <c r="R26" s="8" t="s">
        <v>190</v>
      </c>
    </row>
    <row r="27" spans="1:18" ht="48" customHeight="1" x14ac:dyDescent="0.35">
      <c r="A27" s="8">
        <v>26</v>
      </c>
      <c r="B27" s="8" t="s">
        <v>59</v>
      </c>
      <c r="C27" s="8" t="s">
        <v>70</v>
      </c>
      <c r="D27" s="8" t="s">
        <v>100</v>
      </c>
      <c r="E27" s="8" t="s">
        <v>208</v>
      </c>
      <c r="F27" s="14" t="s">
        <v>27</v>
      </c>
      <c r="G27" s="8" t="s">
        <v>209</v>
      </c>
      <c r="H27" s="8"/>
      <c r="I27" s="8">
        <v>3</v>
      </c>
      <c r="J27" s="8" t="s">
        <v>103</v>
      </c>
      <c r="K27" s="13" t="s">
        <v>112</v>
      </c>
      <c r="L27" s="11" t="s">
        <v>40</v>
      </c>
      <c r="M27" s="8" t="s">
        <v>135</v>
      </c>
      <c r="N27" s="8" t="s">
        <v>210</v>
      </c>
      <c r="O27" s="8" t="s">
        <v>135</v>
      </c>
      <c r="P27" s="8" t="s">
        <v>171</v>
      </c>
      <c r="Q27" s="8" t="s">
        <v>172</v>
      </c>
      <c r="R27" s="8" t="s">
        <v>190</v>
      </c>
    </row>
    <row r="28" spans="1:18" ht="48" customHeight="1" x14ac:dyDescent="0.35">
      <c r="A28" s="8">
        <v>27</v>
      </c>
      <c r="B28" s="8" t="s">
        <v>59</v>
      </c>
      <c r="C28" s="8" t="s">
        <v>68</v>
      </c>
      <c r="D28" s="8" t="s">
        <v>100</v>
      </c>
      <c r="E28" s="8" t="s">
        <v>211</v>
      </c>
      <c r="F28" s="14" t="s">
        <v>27</v>
      </c>
      <c r="G28" s="8" t="s">
        <v>212</v>
      </c>
      <c r="H28" s="8"/>
      <c r="I28" s="8">
        <v>3</v>
      </c>
      <c r="J28" s="8" t="s">
        <v>118</v>
      </c>
      <c r="K28" s="13" t="s">
        <v>112</v>
      </c>
      <c r="L28" s="16" t="s">
        <v>42</v>
      </c>
      <c r="M28" s="8" t="s">
        <v>135</v>
      </c>
      <c r="N28" s="8" t="s">
        <v>213</v>
      </c>
      <c r="O28" s="8" t="s">
        <v>214</v>
      </c>
      <c r="P28" s="8" t="s">
        <v>171</v>
      </c>
      <c r="Q28" s="8" t="s">
        <v>172</v>
      </c>
      <c r="R28" s="8" t="s">
        <v>215</v>
      </c>
    </row>
    <row r="29" spans="1:18" ht="48" customHeight="1" x14ac:dyDescent="0.35">
      <c r="A29" s="8">
        <v>28</v>
      </c>
      <c r="B29" s="8" t="s">
        <v>59</v>
      </c>
      <c r="C29" s="8" t="s">
        <v>68</v>
      </c>
      <c r="D29" s="8" t="s">
        <v>100</v>
      </c>
      <c r="E29" s="8" t="s">
        <v>216</v>
      </c>
      <c r="F29" s="14" t="s">
        <v>27</v>
      </c>
      <c r="G29" s="8" t="s">
        <v>217</v>
      </c>
      <c r="H29" s="8" t="s">
        <v>218</v>
      </c>
      <c r="I29" s="8">
        <v>5</v>
      </c>
      <c r="J29" s="8" t="s">
        <v>103</v>
      </c>
      <c r="K29" s="15" t="s">
        <v>131</v>
      </c>
      <c r="L29" s="11" t="s">
        <v>40</v>
      </c>
      <c r="M29" s="8" t="s">
        <v>219</v>
      </c>
      <c r="N29" s="8" t="s">
        <v>220</v>
      </c>
      <c r="O29" s="8" t="s">
        <v>221</v>
      </c>
      <c r="P29" s="8" t="s">
        <v>171</v>
      </c>
      <c r="Q29" s="8" t="s">
        <v>172</v>
      </c>
      <c r="R29" s="8" t="s">
        <v>215</v>
      </c>
    </row>
    <row r="30" spans="1:18" ht="48" customHeight="1" x14ac:dyDescent="0.35">
      <c r="A30" s="8">
        <v>29</v>
      </c>
      <c r="B30" s="8" t="s">
        <v>59</v>
      </c>
      <c r="C30" s="8" t="s">
        <v>68</v>
      </c>
      <c r="D30" s="8" t="s">
        <v>100</v>
      </c>
      <c r="E30" s="8" t="s">
        <v>222</v>
      </c>
      <c r="F30" s="14" t="s">
        <v>27</v>
      </c>
      <c r="G30" s="8" t="s">
        <v>223</v>
      </c>
      <c r="H30" s="8"/>
      <c r="I30" s="8">
        <v>4</v>
      </c>
      <c r="J30" s="8" t="s">
        <v>103</v>
      </c>
      <c r="K30" s="10" t="s">
        <v>104</v>
      </c>
      <c r="L30" s="11" t="s">
        <v>40</v>
      </c>
      <c r="M30" s="8" t="s">
        <v>135</v>
      </c>
      <c r="N30" s="8" t="s">
        <v>224</v>
      </c>
      <c r="O30" s="8" t="s">
        <v>225</v>
      </c>
      <c r="P30" s="8" t="s">
        <v>171</v>
      </c>
      <c r="Q30" s="8" t="s">
        <v>172</v>
      </c>
      <c r="R30" s="8" t="s">
        <v>215</v>
      </c>
    </row>
    <row r="31" spans="1:18" ht="48" customHeight="1" x14ac:dyDescent="0.35">
      <c r="A31" s="8">
        <v>30</v>
      </c>
      <c r="B31" s="8" t="s">
        <v>59</v>
      </c>
      <c r="C31" s="8" t="s">
        <v>68</v>
      </c>
      <c r="D31" s="8" t="s">
        <v>100</v>
      </c>
      <c r="E31" s="8" t="s">
        <v>226</v>
      </c>
      <c r="F31" s="16" t="s">
        <v>29</v>
      </c>
      <c r="G31" s="8" t="s">
        <v>227</v>
      </c>
      <c r="H31" s="8" t="s">
        <v>218</v>
      </c>
      <c r="I31" s="8">
        <v>5</v>
      </c>
      <c r="J31" s="8" t="s">
        <v>103</v>
      </c>
      <c r="K31" s="15" t="s">
        <v>131</v>
      </c>
      <c r="L31" s="11" t="s">
        <v>40</v>
      </c>
      <c r="M31" s="8" t="s">
        <v>228</v>
      </c>
      <c r="N31" s="8" t="s">
        <v>229</v>
      </c>
      <c r="O31" s="8" t="s">
        <v>230</v>
      </c>
      <c r="P31" s="8" t="s">
        <v>171</v>
      </c>
      <c r="Q31" s="8" t="s">
        <v>172</v>
      </c>
      <c r="R31" s="8" t="s">
        <v>215</v>
      </c>
    </row>
    <row r="32" spans="1:18" ht="48" customHeight="1" x14ac:dyDescent="0.35">
      <c r="A32" s="8">
        <v>31</v>
      </c>
      <c r="B32" s="8" t="s">
        <v>59</v>
      </c>
      <c r="C32" s="8" t="s">
        <v>68</v>
      </c>
      <c r="D32" s="8" t="s">
        <v>100</v>
      </c>
      <c r="E32" s="8" t="s">
        <v>231</v>
      </c>
      <c r="F32" s="14" t="s">
        <v>27</v>
      </c>
      <c r="G32" s="8" t="s">
        <v>232</v>
      </c>
      <c r="H32" s="8"/>
      <c r="I32" s="8">
        <v>5</v>
      </c>
      <c r="J32" s="8" t="s">
        <v>118</v>
      </c>
      <c r="K32" s="15" t="s">
        <v>131</v>
      </c>
      <c r="L32" s="11" t="s">
        <v>40</v>
      </c>
      <c r="M32" s="8" t="s">
        <v>135</v>
      </c>
      <c r="N32" s="8" t="s">
        <v>233</v>
      </c>
      <c r="O32" s="8" t="s">
        <v>234</v>
      </c>
      <c r="P32" s="8" t="s">
        <v>171</v>
      </c>
      <c r="Q32" s="8" t="s">
        <v>172</v>
      </c>
      <c r="R32" s="8" t="s">
        <v>215</v>
      </c>
    </row>
    <row r="33" spans="1:18" ht="48" customHeight="1" x14ac:dyDescent="0.35">
      <c r="A33" s="8">
        <v>32</v>
      </c>
      <c r="B33" s="8" t="s">
        <v>59</v>
      </c>
      <c r="C33" s="8" t="s">
        <v>68</v>
      </c>
      <c r="D33" s="8" t="s">
        <v>100</v>
      </c>
      <c r="E33" s="8" t="s">
        <v>235</v>
      </c>
      <c r="F33" s="16" t="s">
        <v>29</v>
      </c>
      <c r="G33" s="8" t="s">
        <v>227</v>
      </c>
      <c r="H33" s="8" t="s">
        <v>218</v>
      </c>
      <c r="I33" s="8">
        <v>5</v>
      </c>
      <c r="J33" s="8" t="s">
        <v>103</v>
      </c>
      <c r="K33" s="15" t="s">
        <v>131</v>
      </c>
      <c r="L33" s="11" t="s">
        <v>40</v>
      </c>
      <c r="M33" s="8" t="s">
        <v>228</v>
      </c>
      <c r="N33" s="8" t="s">
        <v>229</v>
      </c>
      <c r="O33" s="8" t="s">
        <v>230</v>
      </c>
      <c r="P33" s="8" t="s">
        <v>171</v>
      </c>
      <c r="Q33" s="8" t="s">
        <v>172</v>
      </c>
      <c r="R33" s="8" t="s">
        <v>215</v>
      </c>
    </row>
    <row r="34" spans="1:18" ht="48" customHeight="1" x14ac:dyDescent="0.35">
      <c r="A34" s="8">
        <v>33</v>
      </c>
      <c r="B34" s="8" t="s">
        <v>59</v>
      </c>
      <c r="C34" s="8" t="s">
        <v>68</v>
      </c>
      <c r="D34" s="8" t="s">
        <v>100</v>
      </c>
      <c r="E34" s="8" t="s">
        <v>236</v>
      </c>
      <c r="F34" s="14" t="s">
        <v>27</v>
      </c>
      <c r="G34" s="8" t="s">
        <v>237</v>
      </c>
      <c r="H34" s="8"/>
      <c r="I34" s="8">
        <v>4</v>
      </c>
      <c r="J34" s="8" t="s">
        <v>103</v>
      </c>
      <c r="K34" s="10" t="s">
        <v>104</v>
      </c>
      <c r="L34" s="11" t="s">
        <v>40</v>
      </c>
      <c r="M34" s="8" t="s">
        <v>135</v>
      </c>
      <c r="N34" s="8" t="s">
        <v>238</v>
      </c>
      <c r="O34" s="8" t="s">
        <v>239</v>
      </c>
      <c r="P34" s="8" t="s">
        <v>171</v>
      </c>
      <c r="Q34" s="8" t="s">
        <v>172</v>
      </c>
      <c r="R34" s="8" t="s">
        <v>215</v>
      </c>
    </row>
    <row r="35" spans="1:18" ht="48" customHeight="1" x14ac:dyDescent="0.35">
      <c r="A35" s="8">
        <v>34</v>
      </c>
      <c r="B35" s="8" t="s">
        <v>59</v>
      </c>
      <c r="C35" s="8" t="s">
        <v>68</v>
      </c>
      <c r="D35" s="8" t="s">
        <v>100</v>
      </c>
      <c r="E35" s="8" t="s">
        <v>240</v>
      </c>
      <c r="F35" s="14" t="s">
        <v>27</v>
      </c>
      <c r="G35" s="8" t="s">
        <v>241</v>
      </c>
      <c r="H35" s="8"/>
      <c r="I35" s="8">
        <v>3</v>
      </c>
      <c r="J35" s="8" t="s">
        <v>118</v>
      </c>
      <c r="K35" s="13" t="s">
        <v>112</v>
      </c>
      <c r="L35" s="11" t="s">
        <v>40</v>
      </c>
      <c r="M35" s="8" t="s">
        <v>135</v>
      </c>
      <c r="N35" s="8" t="s">
        <v>242</v>
      </c>
      <c r="O35" s="8" t="s">
        <v>243</v>
      </c>
      <c r="P35" s="8" t="s">
        <v>171</v>
      </c>
      <c r="Q35" s="8" t="s">
        <v>172</v>
      </c>
      <c r="R35" s="8" t="s">
        <v>244</v>
      </c>
    </row>
    <row r="36" spans="1:18" ht="48" customHeight="1" x14ac:dyDescent="0.35">
      <c r="A36" s="8">
        <v>35</v>
      </c>
      <c r="B36" s="8" t="s">
        <v>59</v>
      </c>
      <c r="C36" s="8" t="s">
        <v>68</v>
      </c>
      <c r="D36" s="8" t="s">
        <v>100</v>
      </c>
      <c r="E36" s="8" t="s">
        <v>245</v>
      </c>
      <c r="F36" s="16" t="s">
        <v>29</v>
      </c>
      <c r="G36" s="8" t="s">
        <v>227</v>
      </c>
      <c r="H36" s="8" t="s">
        <v>218</v>
      </c>
      <c r="I36" s="8">
        <v>5</v>
      </c>
      <c r="J36" s="8" t="s">
        <v>103</v>
      </c>
      <c r="K36" s="15" t="s">
        <v>131</v>
      </c>
      <c r="L36" s="11" t="s">
        <v>40</v>
      </c>
      <c r="M36" s="8" t="s">
        <v>228</v>
      </c>
      <c r="N36" s="8" t="s">
        <v>229</v>
      </c>
      <c r="O36" s="8" t="s">
        <v>230</v>
      </c>
      <c r="P36" s="8" t="s">
        <v>171</v>
      </c>
      <c r="Q36" s="8" t="s">
        <v>172</v>
      </c>
      <c r="R36" s="8" t="s">
        <v>244</v>
      </c>
    </row>
    <row r="37" spans="1:18" ht="48" customHeight="1" x14ac:dyDescent="0.35">
      <c r="A37" s="8">
        <v>36</v>
      </c>
      <c r="B37" s="8" t="s">
        <v>59</v>
      </c>
      <c r="C37" s="8" t="s">
        <v>68</v>
      </c>
      <c r="D37" s="8" t="s">
        <v>100</v>
      </c>
      <c r="E37" s="8" t="s">
        <v>246</v>
      </c>
      <c r="F37" s="14" t="s">
        <v>27</v>
      </c>
      <c r="G37" s="8" t="s">
        <v>247</v>
      </c>
      <c r="H37" s="8"/>
      <c r="I37" s="8">
        <v>4</v>
      </c>
      <c r="J37" s="8" t="s">
        <v>103</v>
      </c>
      <c r="K37" s="10" t="s">
        <v>104</v>
      </c>
      <c r="L37" s="11" t="s">
        <v>40</v>
      </c>
      <c r="M37" s="8" t="s">
        <v>135</v>
      </c>
      <c r="N37" s="8" t="s">
        <v>248</v>
      </c>
      <c r="O37" s="8" t="s">
        <v>135</v>
      </c>
      <c r="P37" s="8" t="s">
        <v>171</v>
      </c>
      <c r="Q37" s="8" t="s">
        <v>172</v>
      </c>
      <c r="R37" s="8" t="s">
        <v>249</v>
      </c>
    </row>
    <row r="38" spans="1:18" ht="48" customHeight="1" x14ac:dyDescent="0.35">
      <c r="A38" s="8">
        <v>37</v>
      </c>
      <c r="B38" s="8" t="s">
        <v>61</v>
      </c>
      <c r="C38" s="8" t="s">
        <v>72</v>
      </c>
      <c r="D38" s="8" t="s">
        <v>100</v>
      </c>
      <c r="E38" s="8" t="s">
        <v>250</v>
      </c>
      <c r="F38" s="16" t="s">
        <v>29</v>
      </c>
      <c r="G38" s="8" t="s">
        <v>251</v>
      </c>
      <c r="H38" s="8" t="s">
        <v>176</v>
      </c>
      <c r="I38" s="8">
        <v>4</v>
      </c>
      <c r="J38" s="8" t="s">
        <v>144</v>
      </c>
      <c r="K38" s="13" t="s">
        <v>112</v>
      </c>
      <c r="L38" s="11" t="s">
        <v>40</v>
      </c>
      <c r="M38" s="8" t="s">
        <v>181</v>
      </c>
      <c r="N38" s="8" t="s">
        <v>182</v>
      </c>
      <c r="O38" s="8" t="s">
        <v>252</v>
      </c>
      <c r="P38" s="8" t="s">
        <v>171</v>
      </c>
      <c r="Q38" s="8" t="s">
        <v>172</v>
      </c>
      <c r="R38" s="8" t="s">
        <v>253</v>
      </c>
    </row>
    <row r="39" spans="1:18" ht="48" customHeight="1" x14ac:dyDescent="0.35">
      <c r="A39" s="8">
        <v>38</v>
      </c>
      <c r="B39" s="8" t="s">
        <v>59</v>
      </c>
      <c r="C39" s="8" t="s">
        <v>68</v>
      </c>
      <c r="D39" s="8" t="s">
        <v>100</v>
      </c>
      <c r="E39" s="8" t="s">
        <v>254</v>
      </c>
      <c r="F39" s="14" t="s">
        <v>27</v>
      </c>
      <c r="G39" s="8" t="s">
        <v>255</v>
      </c>
      <c r="H39" s="8" t="s">
        <v>256</v>
      </c>
      <c r="I39" s="8">
        <v>4</v>
      </c>
      <c r="J39" s="8" t="s">
        <v>103</v>
      </c>
      <c r="K39" s="10" t="s">
        <v>104</v>
      </c>
      <c r="L39" s="11" t="s">
        <v>40</v>
      </c>
      <c r="M39" s="8" t="s">
        <v>135</v>
      </c>
      <c r="N39" s="8" t="s">
        <v>257</v>
      </c>
      <c r="O39" s="8" t="s">
        <v>258</v>
      </c>
      <c r="P39" s="8" t="s">
        <v>171</v>
      </c>
      <c r="Q39" s="8" t="s">
        <v>172</v>
      </c>
      <c r="R39" s="8" t="s">
        <v>259</v>
      </c>
    </row>
    <row r="40" spans="1:18" ht="48" customHeight="1" x14ac:dyDescent="0.35">
      <c r="A40" s="8">
        <v>39</v>
      </c>
      <c r="B40" s="8" t="s">
        <v>59</v>
      </c>
      <c r="C40" s="8" t="s">
        <v>78</v>
      </c>
      <c r="D40" s="8" t="s">
        <v>100</v>
      </c>
      <c r="E40" s="8" t="s">
        <v>260</v>
      </c>
      <c r="F40" s="14" t="s">
        <v>27</v>
      </c>
      <c r="G40" s="8" t="s">
        <v>261</v>
      </c>
      <c r="H40" s="8"/>
      <c r="I40" s="8">
        <v>3</v>
      </c>
      <c r="J40" s="8" t="s">
        <v>103</v>
      </c>
      <c r="K40" s="13" t="s">
        <v>112</v>
      </c>
      <c r="L40" s="11" t="s">
        <v>40</v>
      </c>
      <c r="M40" s="8" t="s">
        <v>135</v>
      </c>
      <c r="N40" s="8" t="s">
        <v>262</v>
      </c>
      <c r="O40" s="8" t="s">
        <v>135</v>
      </c>
      <c r="P40" s="8" t="s">
        <v>171</v>
      </c>
      <c r="Q40" s="8" t="s">
        <v>172</v>
      </c>
      <c r="R40" s="8" t="s">
        <v>263</v>
      </c>
    </row>
    <row r="41" spans="1:18" ht="48" customHeight="1" x14ac:dyDescent="0.35">
      <c r="A41" s="8">
        <v>40</v>
      </c>
      <c r="B41" s="8" t="s">
        <v>59</v>
      </c>
      <c r="C41" s="8" t="s">
        <v>70</v>
      </c>
      <c r="D41" s="8" t="s">
        <v>100</v>
      </c>
      <c r="E41" s="8" t="s">
        <v>264</v>
      </c>
      <c r="F41" s="14" t="s">
        <v>27</v>
      </c>
      <c r="G41" s="8" t="s">
        <v>265</v>
      </c>
      <c r="H41" s="8"/>
      <c r="I41" s="8">
        <v>5</v>
      </c>
      <c r="J41" s="8" t="s">
        <v>144</v>
      </c>
      <c r="K41" s="10" t="s">
        <v>104</v>
      </c>
      <c r="L41" s="11" t="s">
        <v>40</v>
      </c>
      <c r="M41" s="8" t="s">
        <v>135</v>
      </c>
      <c r="N41" s="8" t="s">
        <v>266</v>
      </c>
      <c r="O41" s="8" t="s">
        <v>267</v>
      </c>
      <c r="P41" s="8" t="s">
        <v>171</v>
      </c>
      <c r="Q41" s="8" t="s">
        <v>268</v>
      </c>
      <c r="R41" s="8" t="s">
        <v>269</v>
      </c>
    </row>
    <row r="42" spans="1:18" ht="48" customHeight="1" x14ac:dyDescent="0.35">
      <c r="A42" s="8">
        <v>41</v>
      </c>
      <c r="B42" s="8" t="s">
        <v>59</v>
      </c>
      <c r="C42" s="8" t="s">
        <v>70</v>
      </c>
      <c r="D42" s="8" t="s">
        <v>100</v>
      </c>
      <c r="E42" s="8" t="s">
        <v>270</v>
      </c>
      <c r="F42" s="14" t="s">
        <v>27</v>
      </c>
      <c r="G42" s="8" t="s">
        <v>271</v>
      </c>
      <c r="H42" s="8"/>
      <c r="I42" s="8">
        <v>5</v>
      </c>
      <c r="J42" s="8" t="s">
        <v>144</v>
      </c>
      <c r="K42" s="10" t="s">
        <v>104</v>
      </c>
      <c r="L42" s="11" t="s">
        <v>40</v>
      </c>
      <c r="M42" s="8" t="s">
        <v>135</v>
      </c>
      <c r="N42" s="8" t="s">
        <v>272</v>
      </c>
      <c r="O42" s="8" t="s">
        <v>273</v>
      </c>
      <c r="P42" s="8" t="s">
        <v>171</v>
      </c>
      <c r="Q42" s="8" t="s">
        <v>268</v>
      </c>
      <c r="R42" s="8" t="s">
        <v>269</v>
      </c>
    </row>
    <row r="43" spans="1:18" ht="48" customHeight="1" x14ac:dyDescent="0.35">
      <c r="A43" s="8">
        <v>42</v>
      </c>
      <c r="B43" s="8" t="s">
        <v>63</v>
      </c>
      <c r="C43" s="8" t="s">
        <v>80</v>
      </c>
      <c r="D43" s="8" t="s">
        <v>100</v>
      </c>
      <c r="E43" s="8" t="s">
        <v>274</v>
      </c>
      <c r="F43" s="14" t="s">
        <v>27</v>
      </c>
      <c r="G43" s="8" t="s">
        <v>275</v>
      </c>
      <c r="H43" s="8"/>
      <c r="I43" s="8">
        <v>3</v>
      </c>
      <c r="J43" s="8" t="s">
        <v>103</v>
      </c>
      <c r="K43" s="13" t="s">
        <v>112</v>
      </c>
      <c r="L43" s="11" t="s">
        <v>40</v>
      </c>
      <c r="M43" s="8" t="s">
        <v>276</v>
      </c>
      <c r="N43" s="8" t="s">
        <v>277</v>
      </c>
      <c r="O43" s="8" t="s">
        <v>278</v>
      </c>
      <c r="P43" s="8" t="s">
        <v>171</v>
      </c>
      <c r="Q43" s="8" t="s">
        <v>268</v>
      </c>
      <c r="R43" s="8" t="s">
        <v>279</v>
      </c>
    </row>
    <row r="44" spans="1:18" ht="48" customHeight="1" x14ac:dyDescent="0.35">
      <c r="A44" s="8">
        <v>43</v>
      </c>
      <c r="B44" s="8" t="s">
        <v>61</v>
      </c>
      <c r="C44" s="8" t="s">
        <v>74</v>
      </c>
      <c r="D44" s="8" t="s">
        <v>100</v>
      </c>
      <c r="E44" s="8" t="s">
        <v>280</v>
      </c>
      <c r="F44" s="14" t="s">
        <v>27</v>
      </c>
      <c r="G44" s="8" t="s">
        <v>281</v>
      </c>
      <c r="H44" s="8"/>
      <c r="I44" s="8">
        <v>4</v>
      </c>
      <c r="J44" s="8" t="s">
        <v>103</v>
      </c>
      <c r="K44" s="10" t="s">
        <v>104</v>
      </c>
      <c r="L44" s="16" t="s">
        <v>42</v>
      </c>
      <c r="M44" s="8" t="s">
        <v>135</v>
      </c>
      <c r="N44" s="8" t="s">
        <v>282</v>
      </c>
      <c r="O44" s="8" t="s">
        <v>135</v>
      </c>
      <c r="P44" s="8" t="s">
        <v>171</v>
      </c>
      <c r="Q44" s="8" t="s">
        <v>283</v>
      </c>
      <c r="R44" s="8" t="s">
        <v>284</v>
      </c>
    </row>
    <row r="45" spans="1:18" ht="48" customHeight="1" x14ac:dyDescent="0.35">
      <c r="A45" s="8">
        <v>44</v>
      </c>
      <c r="B45" s="8" t="s">
        <v>61</v>
      </c>
      <c r="C45" s="8" t="s">
        <v>74</v>
      </c>
      <c r="D45" s="8" t="s">
        <v>100</v>
      </c>
      <c r="E45" s="8" t="s">
        <v>285</v>
      </c>
      <c r="F45" s="14" t="s">
        <v>27</v>
      </c>
      <c r="G45" s="8" t="s">
        <v>286</v>
      </c>
      <c r="H45" s="8"/>
      <c r="I45" s="8">
        <v>5</v>
      </c>
      <c r="J45" s="8" t="s">
        <v>103</v>
      </c>
      <c r="K45" s="15" t="s">
        <v>131</v>
      </c>
      <c r="L45" s="11" t="s">
        <v>40</v>
      </c>
      <c r="M45" s="8" t="s">
        <v>135</v>
      </c>
      <c r="N45" s="8" t="s">
        <v>287</v>
      </c>
      <c r="O45" s="8" t="s">
        <v>287</v>
      </c>
      <c r="P45" s="8" t="s">
        <v>171</v>
      </c>
      <c r="Q45" s="8" t="s">
        <v>283</v>
      </c>
      <c r="R45" s="8" t="s">
        <v>284</v>
      </c>
    </row>
    <row r="46" spans="1:18" ht="48" customHeight="1" x14ac:dyDescent="0.35">
      <c r="A46" s="8">
        <v>45</v>
      </c>
      <c r="B46" s="8" t="s">
        <v>61</v>
      </c>
      <c r="C46" s="8" t="s">
        <v>74</v>
      </c>
      <c r="D46" s="8" t="s">
        <v>100</v>
      </c>
      <c r="E46" s="8" t="s">
        <v>288</v>
      </c>
      <c r="F46" s="14" t="s">
        <v>27</v>
      </c>
      <c r="G46" s="8" t="s">
        <v>289</v>
      </c>
      <c r="H46" s="8"/>
      <c r="I46" s="8">
        <v>3</v>
      </c>
      <c r="J46" s="8" t="s">
        <v>118</v>
      </c>
      <c r="K46" s="13" t="s">
        <v>112</v>
      </c>
      <c r="L46" s="16" t="s">
        <v>42</v>
      </c>
      <c r="M46" s="8" t="s">
        <v>135</v>
      </c>
      <c r="N46" s="8" t="s">
        <v>290</v>
      </c>
      <c r="O46" s="8" t="s">
        <v>135</v>
      </c>
      <c r="P46" s="8" t="s">
        <v>171</v>
      </c>
      <c r="Q46" s="8" t="s">
        <v>283</v>
      </c>
      <c r="R46" s="8" t="s">
        <v>284</v>
      </c>
    </row>
    <row r="47" spans="1:18" ht="48" customHeight="1" x14ac:dyDescent="0.35">
      <c r="A47" s="8">
        <v>46</v>
      </c>
      <c r="B47" s="8" t="s">
        <v>61</v>
      </c>
      <c r="C47" s="8" t="s">
        <v>74</v>
      </c>
      <c r="D47" s="8" t="s">
        <v>100</v>
      </c>
      <c r="E47" s="8" t="s">
        <v>291</v>
      </c>
      <c r="F47" s="14" t="s">
        <v>27</v>
      </c>
      <c r="G47" s="8" t="s">
        <v>292</v>
      </c>
      <c r="H47" s="8"/>
      <c r="I47" s="8">
        <v>4</v>
      </c>
      <c r="J47" s="8" t="s">
        <v>103</v>
      </c>
      <c r="K47" s="10" t="s">
        <v>104</v>
      </c>
      <c r="L47" s="11" t="s">
        <v>40</v>
      </c>
      <c r="M47" s="8" t="s">
        <v>135</v>
      </c>
      <c r="N47" s="8" t="s">
        <v>293</v>
      </c>
      <c r="O47" s="8" t="s">
        <v>294</v>
      </c>
      <c r="P47" s="8" t="s">
        <v>171</v>
      </c>
      <c r="Q47" s="8" t="s">
        <v>283</v>
      </c>
      <c r="R47" s="8" t="s">
        <v>284</v>
      </c>
    </row>
    <row r="48" spans="1:18" ht="48" customHeight="1" x14ac:dyDescent="0.35">
      <c r="A48" s="8">
        <v>47</v>
      </c>
      <c r="B48" s="8" t="s">
        <v>61</v>
      </c>
      <c r="C48" s="8" t="s">
        <v>74</v>
      </c>
      <c r="D48" s="8" t="s">
        <v>100</v>
      </c>
      <c r="E48" s="8" t="s">
        <v>295</v>
      </c>
      <c r="F48" s="14" t="s">
        <v>27</v>
      </c>
      <c r="G48" s="8" t="s">
        <v>296</v>
      </c>
      <c r="H48" s="8"/>
      <c r="I48" s="8">
        <v>2</v>
      </c>
      <c r="J48" s="8" t="s">
        <v>118</v>
      </c>
      <c r="K48" s="17" t="s">
        <v>145</v>
      </c>
      <c r="L48" s="16" t="s">
        <v>42</v>
      </c>
      <c r="M48" s="8" t="s">
        <v>135</v>
      </c>
      <c r="N48" s="8" t="s">
        <v>135</v>
      </c>
      <c r="O48" s="8" t="s">
        <v>135</v>
      </c>
      <c r="P48" s="8" t="s">
        <v>171</v>
      </c>
      <c r="Q48" s="8" t="s">
        <v>283</v>
      </c>
      <c r="R48" s="8" t="s">
        <v>297</v>
      </c>
    </row>
    <row r="49" spans="1:18" ht="48" customHeight="1" x14ac:dyDescent="0.35">
      <c r="A49" s="8">
        <v>48</v>
      </c>
      <c r="B49" s="8" t="s">
        <v>61</v>
      </c>
      <c r="C49" s="8" t="s">
        <v>74</v>
      </c>
      <c r="D49" s="8" t="s">
        <v>100</v>
      </c>
      <c r="E49" s="8" t="s">
        <v>298</v>
      </c>
      <c r="F49" s="14" t="s">
        <v>27</v>
      </c>
      <c r="G49" s="8" t="s">
        <v>299</v>
      </c>
      <c r="H49" s="8"/>
      <c r="I49" s="8">
        <v>2</v>
      </c>
      <c r="J49" s="8" t="s">
        <v>103</v>
      </c>
      <c r="K49" s="17" t="s">
        <v>145</v>
      </c>
      <c r="L49" s="16" t="s">
        <v>42</v>
      </c>
      <c r="M49" s="8" t="s">
        <v>135</v>
      </c>
      <c r="N49" s="8" t="s">
        <v>300</v>
      </c>
      <c r="O49" s="8" t="s">
        <v>135</v>
      </c>
      <c r="P49" s="8" t="s">
        <v>171</v>
      </c>
      <c r="Q49" s="8" t="s">
        <v>283</v>
      </c>
      <c r="R49" s="8" t="s">
        <v>297</v>
      </c>
    </row>
    <row r="50" spans="1:18" ht="48" customHeight="1" x14ac:dyDescent="0.35">
      <c r="A50" s="8">
        <v>49</v>
      </c>
      <c r="B50" s="8" t="s">
        <v>61</v>
      </c>
      <c r="C50" s="8" t="s">
        <v>74</v>
      </c>
      <c r="D50" s="8" t="s">
        <v>100</v>
      </c>
      <c r="E50" s="8" t="s">
        <v>301</v>
      </c>
      <c r="F50" s="12" t="s">
        <v>31</v>
      </c>
      <c r="G50" s="8" t="s">
        <v>302</v>
      </c>
      <c r="H50" s="8"/>
      <c r="I50" s="8">
        <v>2</v>
      </c>
      <c r="J50" s="8" t="s">
        <v>118</v>
      </c>
      <c r="K50" s="17" t="s">
        <v>145</v>
      </c>
      <c r="L50" s="16" t="s">
        <v>42</v>
      </c>
      <c r="M50" s="8" t="s">
        <v>135</v>
      </c>
      <c r="N50" s="8" t="s">
        <v>135</v>
      </c>
      <c r="O50" s="8" t="s">
        <v>135</v>
      </c>
      <c r="P50" s="8" t="s">
        <v>171</v>
      </c>
      <c r="Q50" s="8" t="s">
        <v>283</v>
      </c>
      <c r="R50" s="8" t="s">
        <v>297</v>
      </c>
    </row>
    <row r="51" spans="1:18" ht="48" customHeight="1" x14ac:dyDescent="0.35">
      <c r="A51" s="8">
        <v>50</v>
      </c>
      <c r="B51" s="8" t="s">
        <v>61</v>
      </c>
      <c r="C51" s="8" t="s">
        <v>74</v>
      </c>
      <c r="D51" s="8" t="s">
        <v>100</v>
      </c>
      <c r="E51" s="8" t="s">
        <v>303</v>
      </c>
      <c r="F51" s="12" t="s">
        <v>31</v>
      </c>
      <c r="G51" s="8" t="s">
        <v>304</v>
      </c>
      <c r="H51" s="8"/>
      <c r="I51" s="8">
        <v>2</v>
      </c>
      <c r="J51" s="8" t="s">
        <v>118</v>
      </c>
      <c r="K51" s="17" t="s">
        <v>145</v>
      </c>
      <c r="L51" s="16" t="s">
        <v>42</v>
      </c>
      <c r="M51" s="8" t="s">
        <v>135</v>
      </c>
      <c r="N51" s="8" t="s">
        <v>135</v>
      </c>
      <c r="O51" s="8" t="s">
        <v>135</v>
      </c>
      <c r="P51" s="8" t="s">
        <v>171</v>
      </c>
      <c r="Q51" s="8" t="s">
        <v>283</v>
      </c>
      <c r="R51" s="8" t="s">
        <v>297</v>
      </c>
    </row>
    <row r="52" spans="1:18" ht="48" customHeight="1" x14ac:dyDescent="0.35">
      <c r="A52" s="8">
        <v>51</v>
      </c>
      <c r="B52" s="8" t="s">
        <v>61</v>
      </c>
      <c r="C52" s="8" t="s">
        <v>74</v>
      </c>
      <c r="D52" s="8" t="s">
        <v>100</v>
      </c>
      <c r="E52" s="8" t="s">
        <v>305</v>
      </c>
      <c r="F52" s="14" t="s">
        <v>27</v>
      </c>
      <c r="G52" s="8" t="s">
        <v>306</v>
      </c>
      <c r="H52" s="8"/>
      <c r="I52" s="8">
        <v>4</v>
      </c>
      <c r="J52" s="8" t="s">
        <v>118</v>
      </c>
      <c r="K52" s="10" t="s">
        <v>104</v>
      </c>
      <c r="L52" s="11" t="s">
        <v>40</v>
      </c>
      <c r="M52" s="8" t="s">
        <v>135</v>
      </c>
      <c r="N52" s="8" t="s">
        <v>307</v>
      </c>
      <c r="O52" s="8" t="s">
        <v>135</v>
      </c>
      <c r="P52" s="8" t="s">
        <v>171</v>
      </c>
      <c r="Q52" s="8" t="s">
        <v>283</v>
      </c>
      <c r="R52" s="8" t="s">
        <v>308</v>
      </c>
    </row>
    <row r="53" spans="1:18" ht="48" customHeight="1" x14ac:dyDescent="0.35">
      <c r="A53" s="8">
        <v>52</v>
      </c>
      <c r="B53" s="8" t="s">
        <v>61</v>
      </c>
      <c r="C53" s="8" t="s">
        <v>74</v>
      </c>
      <c r="D53" s="8" t="s">
        <v>100</v>
      </c>
      <c r="E53" s="8" t="s">
        <v>309</v>
      </c>
      <c r="F53" s="14" t="s">
        <v>27</v>
      </c>
      <c r="G53" s="8" t="s">
        <v>310</v>
      </c>
      <c r="H53" s="8" t="s">
        <v>311</v>
      </c>
      <c r="I53" s="8">
        <v>4</v>
      </c>
      <c r="J53" s="8" t="s">
        <v>103</v>
      </c>
      <c r="K53" s="10" t="s">
        <v>104</v>
      </c>
      <c r="L53" s="11" t="s">
        <v>40</v>
      </c>
      <c r="M53" s="8" t="s">
        <v>135</v>
      </c>
      <c r="N53" s="8" t="s">
        <v>312</v>
      </c>
      <c r="O53" s="8" t="s">
        <v>313</v>
      </c>
      <c r="P53" s="8" t="s">
        <v>171</v>
      </c>
      <c r="Q53" s="8" t="s">
        <v>283</v>
      </c>
      <c r="R53" s="8" t="s">
        <v>308</v>
      </c>
    </row>
    <row r="54" spans="1:18" ht="48" customHeight="1" x14ac:dyDescent="0.35">
      <c r="A54" s="8">
        <v>53</v>
      </c>
      <c r="B54" s="8" t="s">
        <v>61</v>
      </c>
      <c r="C54" s="8" t="s">
        <v>74</v>
      </c>
      <c r="D54" s="8" t="s">
        <v>100</v>
      </c>
      <c r="E54" s="8" t="s">
        <v>314</v>
      </c>
      <c r="F54" s="14" t="s">
        <v>27</v>
      </c>
      <c r="G54" s="8" t="s">
        <v>315</v>
      </c>
      <c r="H54" s="8"/>
      <c r="I54" s="8">
        <v>3</v>
      </c>
      <c r="J54" s="8" t="s">
        <v>118</v>
      </c>
      <c r="K54" s="13" t="s">
        <v>112</v>
      </c>
      <c r="L54" s="11" t="s">
        <v>40</v>
      </c>
      <c r="M54" s="8" t="s">
        <v>135</v>
      </c>
      <c r="N54" s="8" t="s">
        <v>316</v>
      </c>
      <c r="O54" s="8" t="s">
        <v>135</v>
      </c>
      <c r="P54" s="8" t="s">
        <v>171</v>
      </c>
      <c r="Q54" s="8" t="s">
        <v>283</v>
      </c>
      <c r="R54" s="8" t="s">
        <v>308</v>
      </c>
    </row>
    <row r="55" spans="1:18" ht="48" customHeight="1" x14ac:dyDescent="0.35">
      <c r="A55" s="8">
        <v>54</v>
      </c>
      <c r="B55" s="8" t="s">
        <v>61</v>
      </c>
      <c r="C55" s="8" t="s">
        <v>70</v>
      </c>
      <c r="D55" s="8" t="s">
        <v>100</v>
      </c>
      <c r="E55" s="8" t="s">
        <v>317</v>
      </c>
      <c r="F55" s="14" t="s">
        <v>27</v>
      </c>
      <c r="G55" s="8" t="s">
        <v>318</v>
      </c>
      <c r="H55" s="8"/>
      <c r="I55" s="8">
        <v>4</v>
      </c>
      <c r="J55" s="8" t="s">
        <v>103</v>
      </c>
      <c r="K55" s="10" t="s">
        <v>104</v>
      </c>
      <c r="L55" s="11" t="s">
        <v>40</v>
      </c>
      <c r="M55" s="8" t="s">
        <v>135</v>
      </c>
      <c r="N55" s="8" t="s">
        <v>319</v>
      </c>
      <c r="O55" s="8" t="s">
        <v>135</v>
      </c>
      <c r="P55" s="8" t="s">
        <v>171</v>
      </c>
      <c r="Q55" s="8" t="s">
        <v>283</v>
      </c>
      <c r="R55" s="8" t="s">
        <v>320</v>
      </c>
    </row>
    <row r="56" spans="1:18" ht="48" customHeight="1" x14ac:dyDescent="0.35">
      <c r="A56" s="8">
        <v>55</v>
      </c>
      <c r="B56" s="8" t="s">
        <v>61</v>
      </c>
      <c r="C56" s="8" t="s">
        <v>70</v>
      </c>
      <c r="D56" s="8" t="s">
        <v>100</v>
      </c>
      <c r="E56" s="8" t="s">
        <v>321</v>
      </c>
      <c r="F56" s="14" t="s">
        <v>27</v>
      </c>
      <c r="G56" s="8" t="s">
        <v>322</v>
      </c>
      <c r="H56" s="8"/>
      <c r="I56" s="8">
        <v>4</v>
      </c>
      <c r="J56" s="8" t="s">
        <v>103</v>
      </c>
      <c r="K56" s="10" t="s">
        <v>104</v>
      </c>
      <c r="L56" s="11" t="s">
        <v>40</v>
      </c>
      <c r="M56" s="8" t="s">
        <v>135</v>
      </c>
      <c r="N56" s="8" t="s">
        <v>323</v>
      </c>
      <c r="O56" s="8" t="s">
        <v>135</v>
      </c>
      <c r="P56" s="8" t="s">
        <v>171</v>
      </c>
      <c r="Q56" s="8" t="s">
        <v>283</v>
      </c>
      <c r="R56" s="8" t="s">
        <v>320</v>
      </c>
    </row>
    <row r="57" spans="1:18" ht="48" customHeight="1" x14ac:dyDescent="0.35">
      <c r="A57" s="8">
        <v>56</v>
      </c>
      <c r="B57" s="8" t="s">
        <v>61</v>
      </c>
      <c r="C57" s="8" t="s">
        <v>70</v>
      </c>
      <c r="D57" s="8" t="s">
        <v>100</v>
      </c>
      <c r="E57" s="8" t="s">
        <v>324</v>
      </c>
      <c r="F57" s="14" t="s">
        <v>27</v>
      </c>
      <c r="G57" s="8" t="s">
        <v>325</v>
      </c>
      <c r="H57" s="8"/>
      <c r="I57" s="8">
        <v>5</v>
      </c>
      <c r="J57" s="8" t="s">
        <v>144</v>
      </c>
      <c r="K57" s="10" t="s">
        <v>104</v>
      </c>
      <c r="L57" s="11" t="s">
        <v>40</v>
      </c>
      <c r="M57" s="8" t="s">
        <v>135</v>
      </c>
      <c r="N57" s="8" t="s">
        <v>326</v>
      </c>
      <c r="O57" s="8" t="s">
        <v>135</v>
      </c>
      <c r="P57" s="8" t="s">
        <v>171</v>
      </c>
      <c r="Q57" s="8" t="s">
        <v>283</v>
      </c>
      <c r="R57" s="8" t="s">
        <v>320</v>
      </c>
    </row>
    <row r="58" spans="1:18" ht="48" customHeight="1" x14ac:dyDescent="0.35">
      <c r="A58" s="8">
        <v>57</v>
      </c>
      <c r="B58" s="8" t="s">
        <v>61</v>
      </c>
      <c r="C58" s="8" t="s">
        <v>70</v>
      </c>
      <c r="D58" s="8" t="s">
        <v>100</v>
      </c>
      <c r="E58" s="8" t="s">
        <v>327</v>
      </c>
      <c r="F58" s="12" t="s">
        <v>31</v>
      </c>
      <c r="G58" s="8" t="s">
        <v>328</v>
      </c>
      <c r="H58" s="8"/>
      <c r="I58" s="8">
        <v>4</v>
      </c>
      <c r="J58" s="8" t="s">
        <v>103</v>
      </c>
      <c r="K58" s="10" t="s">
        <v>104</v>
      </c>
      <c r="L58" s="11" t="s">
        <v>40</v>
      </c>
      <c r="M58" s="8" t="s">
        <v>135</v>
      </c>
      <c r="N58" s="8" t="s">
        <v>329</v>
      </c>
      <c r="O58" s="8" t="s">
        <v>330</v>
      </c>
      <c r="P58" s="8" t="s">
        <v>171</v>
      </c>
      <c r="Q58" s="8" t="s">
        <v>283</v>
      </c>
      <c r="R58" s="8" t="s">
        <v>331</v>
      </c>
    </row>
    <row r="59" spans="1:18" ht="48" customHeight="1" x14ac:dyDescent="0.35">
      <c r="A59" s="8">
        <v>58</v>
      </c>
      <c r="B59" s="8" t="s">
        <v>61</v>
      </c>
      <c r="C59" s="8" t="s">
        <v>70</v>
      </c>
      <c r="D59" s="8" t="s">
        <v>100</v>
      </c>
      <c r="E59" s="8" t="s">
        <v>332</v>
      </c>
      <c r="F59" s="14" t="s">
        <v>27</v>
      </c>
      <c r="G59" s="8" t="s">
        <v>333</v>
      </c>
      <c r="H59" s="8"/>
      <c r="I59" s="8">
        <v>4</v>
      </c>
      <c r="J59" s="8" t="s">
        <v>103</v>
      </c>
      <c r="K59" s="10" t="s">
        <v>104</v>
      </c>
      <c r="L59" s="18" t="s">
        <v>44</v>
      </c>
      <c r="M59" s="8" t="s">
        <v>135</v>
      </c>
      <c r="N59" s="8" t="s">
        <v>135</v>
      </c>
      <c r="O59" s="8" t="s">
        <v>135</v>
      </c>
      <c r="P59" s="8" t="s">
        <v>171</v>
      </c>
      <c r="Q59" s="8" t="s">
        <v>283</v>
      </c>
      <c r="R59" s="8" t="s">
        <v>331</v>
      </c>
    </row>
    <row r="60" spans="1:18" ht="48" customHeight="1" x14ac:dyDescent="0.35">
      <c r="A60" s="8">
        <v>59</v>
      </c>
      <c r="B60" s="8" t="s">
        <v>59</v>
      </c>
      <c r="C60" s="8" t="s">
        <v>68</v>
      </c>
      <c r="D60" s="8" t="s">
        <v>100</v>
      </c>
      <c r="E60" s="8" t="s">
        <v>334</v>
      </c>
      <c r="F60" s="16" t="s">
        <v>29</v>
      </c>
      <c r="G60" s="8" t="s">
        <v>335</v>
      </c>
      <c r="H60" s="8" t="s">
        <v>256</v>
      </c>
      <c r="I60" s="8">
        <v>4</v>
      </c>
      <c r="J60" s="8" t="s">
        <v>103</v>
      </c>
      <c r="K60" s="10" t="s">
        <v>104</v>
      </c>
      <c r="L60" s="11" t="s">
        <v>40</v>
      </c>
      <c r="M60" s="8" t="s">
        <v>135</v>
      </c>
      <c r="N60" s="8" t="s">
        <v>336</v>
      </c>
      <c r="O60" s="8" t="s">
        <v>135</v>
      </c>
      <c r="P60" s="8" t="s">
        <v>171</v>
      </c>
      <c r="Q60" s="8" t="s">
        <v>283</v>
      </c>
      <c r="R60" s="8" t="s">
        <v>337</v>
      </c>
    </row>
    <row r="61" spans="1:18" ht="48" customHeight="1" x14ac:dyDescent="0.35">
      <c r="A61" s="8">
        <v>60</v>
      </c>
      <c r="B61" s="8" t="s">
        <v>61</v>
      </c>
      <c r="C61" s="8" t="s">
        <v>76</v>
      </c>
      <c r="D61" s="8" t="s">
        <v>100</v>
      </c>
      <c r="E61" s="8" t="s">
        <v>338</v>
      </c>
      <c r="F61" s="14" t="s">
        <v>27</v>
      </c>
      <c r="G61" s="8" t="s">
        <v>339</v>
      </c>
      <c r="H61" s="8"/>
      <c r="I61" s="8">
        <v>2</v>
      </c>
      <c r="J61" s="8" t="s">
        <v>103</v>
      </c>
      <c r="K61" s="17" t="s">
        <v>145</v>
      </c>
      <c r="L61" s="16" t="s">
        <v>42</v>
      </c>
      <c r="M61" s="8" t="s">
        <v>135</v>
      </c>
      <c r="N61" s="8" t="s">
        <v>135</v>
      </c>
      <c r="O61" s="8" t="s">
        <v>135</v>
      </c>
      <c r="P61" s="8" t="s">
        <v>171</v>
      </c>
      <c r="Q61" s="8" t="s">
        <v>283</v>
      </c>
      <c r="R61" s="8" t="s">
        <v>337</v>
      </c>
    </row>
    <row r="62" spans="1:18" ht="48" customHeight="1" x14ac:dyDescent="0.35">
      <c r="A62" s="8">
        <v>61</v>
      </c>
      <c r="B62" s="8" t="s">
        <v>61</v>
      </c>
      <c r="C62" s="8" t="s">
        <v>78</v>
      </c>
      <c r="D62" s="8" t="s">
        <v>100</v>
      </c>
      <c r="E62" s="8" t="s">
        <v>340</v>
      </c>
      <c r="F62" s="16" t="s">
        <v>29</v>
      </c>
      <c r="G62" s="8" t="s">
        <v>341</v>
      </c>
      <c r="H62" s="8" t="s">
        <v>342</v>
      </c>
      <c r="I62" s="8">
        <v>4</v>
      </c>
      <c r="J62" s="8" t="s">
        <v>103</v>
      </c>
      <c r="K62" s="10" t="s">
        <v>104</v>
      </c>
      <c r="L62" s="11" t="s">
        <v>40</v>
      </c>
      <c r="M62" s="8" t="s">
        <v>135</v>
      </c>
      <c r="N62" s="8" t="s">
        <v>343</v>
      </c>
      <c r="O62" s="8" t="s">
        <v>135</v>
      </c>
      <c r="P62" s="8" t="s">
        <v>171</v>
      </c>
      <c r="Q62" s="8" t="s">
        <v>344</v>
      </c>
      <c r="R62" s="8" t="s">
        <v>345</v>
      </c>
    </row>
    <row r="63" spans="1:18" ht="48" customHeight="1" x14ac:dyDescent="0.35">
      <c r="A63" s="8">
        <v>62</v>
      </c>
      <c r="B63" s="8" t="s">
        <v>61</v>
      </c>
      <c r="C63" s="8" t="s">
        <v>78</v>
      </c>
      <c r="D63" s="8" t="s">
        <v>100</v>
      </c>
      <c r="E63" s="8" t="s">
        <v>346</v>
      </c>
      <c r="F63" s="14" t="s">
        <v>27</v>
      </c>
      <c r="G63" s="8" t="s">
        <v>347</v>
      </c>
      <c r="H63" s="8" t="s">
        <v>342</v>
      </c>
      <c r="I63" s="8">
        <v>4</v>
      </c>
      <c r="J63" s="8" t="s">
        <v>103</v>
      </c>
      <c r="K63" s="10" t="s">
        <v>104</v>
      </c>
      <c r="L63" s="11" t="s">
        <v>40</v>
      </c>
      <c r="M63" s="8" t="s">
        <v>135</v>
      </c>
      <c r="N63" s="8" t="s">
        <v>348</v>
      </c>
      <c r="O63" s="8" t="s">
        <v>135</v>
      </c>
      <c r="P63" s="8" t="s">
        <v>171</v>
      </c>
      <c r="Q63" s="8" t="s">
        <v>344</v>
      </c>
      <c r="R63" s="8" t="s">
        <v>345</v>
      </c>
    </row>
    <row r="64" spans="1:18" ht="48" customHeight="1" x14ac:dyDescent="0.35">
      <c r="A64" s="8">
        <v>63</v>
      </c>
      <c r="B64" s="8" t="s">
        <v>61</v>
      </c>
      <c r="C64" s="8" t="s">
        <v>76</v>
      </c>
      <c r="D64" s="8" t="s">
        <v>100</v>
      </c>
      <c r="E64" s="8" t="s">
        <v>349</v>
      </c>
      <c r="F64" s="14" t="s">
        <v>27</v>
      </c>
      <c r="G64" s="8" t="s">
        <v>350</v>
      </c>
      <c r="H64" s="8"/>
      <c r="I64" s="8">
        <v>3</v>
      </c>
      <c r="J64" s="8" t="s">
        <v>103</v>
      </c>
      <c r="K64" s="13" t="s">
        <v>112</v>
      </c>
      <c r="L64" s="11" t="s">
        <v>40</v>
      </c>
      <c r="M64" s="8" t="s">
        <v>135</v>
      </c>
      <c r="N64" s="8" t="s">
        <v>351</v>
      </c>
      <c r="O64" s="8" t="s">
        <v>135</v>
      </c>
      <c r="P64" s="8" t="s">
        <v>171</v>
      </c>
      <c r="Q64" s="8" t="s">
        <v>344</v>
      </c>
      <c r="R64" s="8" t="s">
        <v>352</v>
      </c>
    </row>
    <row r="65" spans="1:18" ht="48" customHeight="1" x14ac:dyDescent="0.35">
      <c r="A65" s="8">
        <v>64</v>
      </c>
      <c r="B65" s="8" t="s">
        <v>61</v>
      </c>
      <c r="C65" s="8" t="s">
        <v>76</v>
      </c>
      <c r="D65" s="8" t="s">
        <v>100</v>
      </c>
      <c r="E65" s="8" t="s">
        <v>353</v>
      </c>
      <c r="F65" s="14" t="s">
        <v>27</v>
      </c>
      <c r="G65" s="8" t="s">
        <v>354</v>
      </c>
      <c r="H65" s="8"/>
      <c r="I65" s="8">
        <v>2</v>
      </c>
      <c r="J65" s="8" t="s">
        <v>118</v>
      </c>
      <c r="K65" s="17" t="s">
        <v>145</v>
      </c>
      <c r="L65" s="16" t="s">
        <v>42</v>
      </c>
      <c r="M65" s="8" t="s">
        <v>135</v>
      </c>
      <c r="N65" s="8" t="s">
        <v>355</v>
      </c>
      <c r="O65" s="8" t="s">
        <v>135</v>
      </c>
      <c r="P65" s="8" t="s">
        <v>171</v>
      </c>
      <c r="Q65" s="8" t="s">
        <v>344</v>
      </c>
      <c r="R65" s="8" t="s">
        <v>352</v>
      </c>
    </row>
    <row r="66" spans="1:18" ht="48" customHeight="1" x14ac:dyDescent="0.35">
      <c r="A66" s="8">
        <v>65</v>
      </c>
      <c r="B66" s="8" t="s">
        <v>61</v>
      </c>
      <c r="C66" s="8" t="s">
        <v>76</v>
      </c>
      <c r="D66" s="8" t="s">
        <v>100</v>
      </c>
      <c r="E66" s="8" t="s">
        <v>356</v>
      </c>
      <c r="F66" s="14" t="s">
        <v>27</v>
      </c>
      <c r="G66" s="8" t="s">
        <v>357</v>
      </c>
      <c r="H66" s="8"/>
      <c r="I66" s="8">
        <v>4</v>
      </c>
      <c r="J66" s="8" t="s">
        <v>118</v>
      </c>
      <c r="K66" s="15" t="s">
        <v>131</v>
      </c>
      <c r="L66" s="11" t="s">
        <v>40</v>
      </c>
      <c r="M66" s="8" t="s">
        <v>135</v>
      </c>
      <c r="N66" s="8" t="s">
        <v>358</v>
      </c>
      <c r="O66" s="8" t="s">
        <v>135</v>
      </c>
      <c r="P66" s="8" t="s">
        <v>171</v>
      </c>
      <c r="Q66" s="8" t="s">
        <v>344</v>
      </c>
      <c r="R66" s="8" t="s">
        <v>352</v>
      </c>
    </row>
    <row r="67" spans="1:18" ht="48" customHeight="1" x14ac:dyDescent="0.35">
      <c r="A67" s="8">
        <v>66</v>
      </c>
      <c r="B67" s="8" t="s">
        <v>61</v>
      </c>
      <c r="C67" s="8" t="s">
        <v>76</v>
      </c>
      <c r="D67" s="8" t="s">
        <v>100</v>
      </c>
      <c r="E67" s="8" t="s">
        <v>359</v>
      </c>
      <c r="F67" s="14" t="s">
        <v>27</v>
      </c>
      <c r="G67" s="8" t="s">
        <v>360</v>
      </c>
      <c r="H67" s="8"/>
      <c r="I67" s="8">
        <v>3</v>
      </c>
      <c r="J67" s="8" t="s">
        <v>118</v>
      </c>
      <c r="K67" s="10" t="s">
        <v>104</v>
      </c>
      <c r="L67" s="11" t="s">
        <v>40</v>
      </c>
      <c r="M67" s="8" t="s">
        <v>135</v>
      </c>
      <c r="N67" s="8" t="s">
        <v>361</v>
      </c>
      <c r="O67" s="8" t="s">
        <v>135</v>
      </c>
      <c r="P67" s="8" t="s">
        <v>171</v>
      </c>
      <c r="Q67" s="8" t="s">
        <v>344</v>
      </c>
      <c r="R67" s="8" t="s">
        <v>362</v>
      </c>
    </row>
    <row r="68" spans="1:18" ht="48" customHeight="1" x14ac:dyDescent="0.35">
      <c r="A68" s="8">
        <v>67</v>
      </c>
      <c r="B68" s="8" t="s">
        <v>61</v>
      </c>
      <c r="C68" s="8" t="s">
        <v>76</v>
      </c>
      <c r="D68" s="8" t="s">
        <v>100</v>
      </c>
      <c r="E68" s="8" t="s">
        <v>363</v>
      </c>
      <c r="F68" s="14" t="s">
        <v>27</v>
      </c>
      <c r="G68" s="8" t="s">
        <v>364</v>
      </c>
      <c r="H68" s="8"/>
      <c r="I68" s="8">
        <v>3</v>
      </c>
      <c r="J68" s="8" t="s">
        <v>103</v>
      </c>
      <c r="K68" s="13" t="s">
        <v>112</v>
      </c>
      <c r="L68" s="11" t="s">
        <v>40</v>
      </c>
      <c r="M68" s="8" t="s">
        <v>135</v>
      </c>
      <c r="N68" s="8" t="s">
        <v>365</v>
      </c>
      <c r="O68" s="8" t="s">
        <v>135</v>
      </c>
      <c r="P68" s="8" t="s">
        <v>171</v>
      </c>
      <c r="Q68" s="8" t="s">
        <v>344</v>
      </c>
      <c r="R68" s="8" t="s">
        <v>362</v>
      </c>
    </row>
    <row r="69" spans="1:18" ht="48" customHeight="1" x14ac:dyDescent="0.35">
      <c r="A69" s="8">
        <v>68</v>
      </c>
      <c r="B69" s="8" t="s">
        <v>61</v>
      </c>
      <c r="C69" s="8" t="s">
        <v>76</v>
      </c>
      <c r="D69" s="8" t="s">
        <v>100</v>
      </c>
      <c r="E69" s="8" t="s">
        <v>366</v>
      </c>
      <c r="F69" s="14" t="s">
        <v>27</v>
      </c>
      <c r="G69" s="8" t="s">
        <v>367</v>
      </c>
      <c r="H69" s="8"/>
      <c r="I69" s="8">
        <v>4</v>
      </c>
      <c r="J69" s="8" t="s">
        <v>103</v>
      </c>
      <c r="K69" s="10" t="s">
        <v>104</v>
      </c>
      <c r="L69" s="11" t="s">
        <v>40</v>
      </c>
      <c r="M69" s="8" t="s">
        <v>135</v>
      </c>
      <c r="N69" s="8" t="s">
        <v>368</v>
      </c>
      <c r="O69" s="8" t="s">
        <v>135</v>
      </c>
      <c r="P69" s="8" t="s">
        <v>171</v>
      </c>
      <c r="Q69" s="8" t="s">
        <v>344</v>
      </c>
      <c r="R69" s="8" t="s">
        <v>362</v>
      </c>
    </row>
    <row r="70" spans="1:18" ht="48" customHeight="1" x14ac:dyDescent="0.35">
      <c r="A70" s="8">
        <v>69</v>
      </c>
      <c r="B70" s="8" t="s">
        <v>61</v>
      </c>
      <c r="C70" s="8" t="s">
        <v>76</v>
      </c>
      <c r="D70" s="8" t="s">
        <v>100</v>
      </c>
      <c r="E70" s="8" t="s">
        <v>369</v>
      </c>
      <c r="F70" s="14" t="s">
        <v>27</v>
      </c>
      <c r="G70" s="8" t="s">
        <v>370</v>
      </c>
      <c r="H70" s="8"/>
      <c r="I70" s="8">
        <v>4</v>
      </c>
      <c r="J70" s="8" t="s">
        <v>118</v>
      </c>
      <c r="K70" s="10" t="s">
        <v>104</v>
      </c>
      <c r="L70" s="11" t="s">
        <v>40</v>
      </c>
      <c r="M70" s="8" t="s">
        <v>135</v>
      </c>
      <c r="N70" s="8" t="s">
        <v>371</v>
      </c>
      <c r="O70" s="8" t="s">
        <v>135</v>
      </c>
      <c r="P70" s="8" t="s">
        <v>171</v>
      </c>
      <c r="Q70" s="8" t="s">
        <v>344</v>
      </c>
      <c r="R70" s="8" t="s">
        <v>362</v>
      </c>
    </row>
    <row r="71" spans="1:18" ht="48" customHeight="1" x14ac:dyDescent="0.35">
      <c r="A71" s="8">
        <v>70</v>
      </c>
      <c r="B71" s="8" t="s">
        <v>61</v>
      </c>
      <c r="C71" s="8" t="s">
        <v>78</v>
      </c>
      <c r="D71" s="8" t="s">
        <v>100</v>
      </c>
      <c r="E71" s="8" t="s">
        <v>372</v>
      </c>
      <c r="F71" s="14" t="s">
        <v>27</v>
      </c>
      <c r="G71" s="8" t="s">
        <v>373</v>
      </c>
      <c r="H71" s="8"/>
      <c r="I71" s="8">
        <v>2</v>
      </c>
      <c r="J71" s="8" t="s">
        <v>103</v>
      </c>
      <c r="K71" s="17" t="s">
        <v>145</v>
      </c>
      <c r="L71" s="11" t="s">
        <v>40</v>
      </c>
      <c r="M71" s="8" t="s">
        <v>135</v>
      </c>
      <c r="N71" s="8" t="s">
        <v>374</v>
      </c>
      <c r="O71" s="8" t="s">
        <v>135</v>
      </c>
      <c r="P71" s="8" t="s">
        <v>171</v>
      </c>
      <c r="Q71" s="8" t="s">
        <v>344</v>
      </c>
      <c r="R71" s="8" t="s">
        <v>375</v>
      </c>
    </row>
    <row r="72" spans="1:18" ht="48" customHeight="1" x14ac:dyDescent="0.35">
      <c r="A72" s="8">
        <v>71</v>
      </c>
      <c r="B72" s="8" t="s">
        <v>61</v>
      </c>
      <c r="C72" s="8" t="s">
        <v>78</v>
      </c>
      <c r="D72" s="8" t="s">
        <v>100</v>
      </c>
      <c r="E72" s="8" t="s">
        <v>376</v>
      </c>
      <c r="F72" s="11" t="s">
        <v>33</v>
      </c>
      <c r="G72" s="8" t="s">
        <v>377</v>
      </c>
      <c r="H72" s="8"/>
      <c r="I72" s="8">
        <v>3</v>
      </c>
      <c r="J72" s="8" t="s">
        <v>103</v>
      </c>
      <c r="K72" s="13" t="s">
        <v>112</v>
      </c>
      <c r="L72" s="18" t="s">
        <v>44</v>
      </c>
      <c r="M72" s="8" t="s">
        <v>135</v>
      </c>
      <c r="N72" s="8" t="s">
        <v>135</v>
      </c>
      <c r="O72" s="8" t="s">
        <v>135</v>
      </c>
      <c r="P72" s="8" t="s">
        <v>171</v>
      </c>
      <c r="Q72" s="8" t="s">
        <v>344</v>
      </c>
      <c r="R72" s="8" t="s">
        <v>375</v>
      </c>
    </row>
    <row r="73" spans="1:18" ht="48" customHeight="1" x14ac:dyDescent="0.35">
      <c r="A73" s="8">
        <v>72</v>
      </c>
      <c r="B73" s="8" t="s">
        <v>61</v>
      </c>
      <c r="C73" s="8" t="s">
        <v>78</v>
      </c>
      <c r="D73" s="8" t="s">
        <v>100</v>
      </c>
      <c r="E73" s="8" t="s">
        <v>378</v>
      </c>
      <c r="F73" s="14" t="s">
        <v>27</v>
      </c>
      <c r="G73" s="8" t="s">
        <v>379</v>
      </c>
      <c r="H73" s="8"/>
      <c r="I73" s="8">
        <v>3</v>
      </c>
      <c r="J73" s="8" t="s">
        <v>144</v>
      </c>
      <c r="K73" s="13" t="s">
        <v>112</v>
      </c>
      <c r="L73" s="11" t="s">
        <v>40</v>
      </c>
      <c r="M73" s="8" t="s">
        <v>135</v>
      </c>
      <c r="N73" s="8" t="s">
        <v>380</v>
      </c>
      <c r="O73" s="8" t="s">
        <v>135</v>
      </c>
      <c r="P73" s="8" t="s">
        <v>171</v>
      </c>
      <c r="Q73" s="8" t="s">
        <v>344</v>
      </c>
      <c r="R73" s="8" t="s">
        <v>381</v>
      </c>
    </row>
    <row r="74" spans="1:18" ht="48" customHeight="1" x14ac:dyDescent="0.35">
      <c r="A74" s="8">
        <v>73</v>
      </c>
      <c r="B74" s="8" t="s">
        <v>61</v>
      </c>
      <c r="C74" s="8" t="s">
        <v>78</v>
      </c>
      <c r="D74" s="8" t="s">
        <v>100</v>
      </c>
      <c r="E74" s="8" t="s">
        <v>382</v>
      </c>
      <c r="F74" s="14" t="s">
        <v>27</v>
      </c>
      <c r="G74" s="8" t="s">
        <v>383</v>
      </c>
      <c r="H74" s="8"/>
      <c r="I74" s="8">
        <v>2</v>
      </c>
      <c r="J74" s="8" t="s">
        <v>103</v>
      </c>
      <c r="K74" s="17" t="s">
        <v>145</v>
      </c>
      <c r="L74" s="11" t="s">
        <v>40</v>
      </c>
      <c r="M74" s="8" t="s">
        <v>135</v>
      </c>
      <c r="N74" s="8" t="s">
        <v>384</v>
      </c>
      <c r="O74" s="8" t="s">
        <v>135</v>
      </c>
      <c r="P74" s="8" t="s">
        <v>171</v>
      </c>
      <c r="Q74" s="8" t="s">
        <v>344</v>
      </c>
      <c r="R74" s="8" t="s">
        <v>381</v>
      </c>
    </row>
    <row r="75" spans="1:18" ht="48" customHeight="1" x14ac:dyDescent="0.35">
      <c r="A75" s="8">
        <v>74</v>
      </c>
      <c r="B75" s="8" t="s">
        <v>61</v>
      </c>
      <c r="C75" s="8" t="s">
        <v>72</v>
      </c>
      <c r="D75" s="8" t="s">
        <v>100</v>
      </c>
      <c r="E75" s="8" t="s">
        <v>385</v>
      </c>
      <c r="F75" s="12" t="s">
        <v>31</v>
      </c>
      <c r="G75" s="8" t="s">
        <v>386</v>
      </c>
      <c r="H75" s="8" t="s">
        <v>387</v>
      </c>
      <c r="I75" s="8">
        <v>3</v>
      </c>
      <c r="J75" s="8" t="s">
        <v>144</v>
      </c>
      <c r="K75" s="13" t="s">
        <v>112</v>
      </c>
      <c r="L75" s="16" t="s">
        <v>42</v>
      </c>
      <c r="M75" s="8" t="s">
        <v>135</v>
      </c>
      <c r="N75" s="8" t="s">
        <v>388</v>
      </c>
      <c r="O75" s="8" t="s">
        <v>135</v>
      </c>
      <c r="P75" s="8" t="s">
        <v>171</v>
      </c>
      <c r="Q75" s="8" t="s">
        <v>344</v>
      </c>
      <c r="R75" s="8" t="s">
        <v>389</v>
      </c>
    </row>
    <row r="76" spans="1:18" ht="48" customHeight="1" x14ac:dyDescent="0.35">
      <c r="A76" s="8">
        <v>75</v>
      </c>
      <c r="B76" s="8" t="s">
        <v>61</v>
      </c>
      <c r="C76" s="8" t="s">
        <v>72</v>
      </c>
      <c r="D76" s="8" t="s">
        <v>100</v>
      </c>
      <c r="E76" s="8" t="s">
        <v>390</v>
      </c>
      <c r="F76" s="14" t="s">
        <v>27</v>
      </c>
      <c r="G76" s="8" t="s">
        <v>391</v>
      </c>
      <c r="H76" s="8"/>
      <c r="I76" s="8">
        <v>3</v>
      </c>
      <c r="J76" s="8" t="s">
        <v>144</v>
      </c>
      <c r="K76" s="13" t="s">
        <v>112</v>
      </c>
      <c r="L76" s="18" t="s">
        <v>44</v>
      </c>
      <c r="M76" s="8" t="s">
        <v>135</v>
      </c>
      <c r="N76" s="8" t="s">
        <v>135</v>
      </c>
      <c r="O76" s="8" t="s">
        <v>135</v>
      </c>
      <c r="P76" s="8" t="s">
        <v>171</v>
      </c>
      <c r="Q76" s="8" t="s">
        <v>344</v>
      </c>
      <c r="R76" s="8" t="s">
        <v>389</v>
      </c>
    </row>
    <row r="77" spans="1:18" ht="48" customHeight="1" x14ac:dyDescent="0.35">
      <c r="A77" s="8">
        <v>76</v>
      </c>
      <c r="B77" s="8" t="s">
        <v>61</v>
      </c>
      <c r="C77" s="8" t="s">
        <v>72</v>
      </c>
      <c r="D77" s="8" t="s">
        <v>100</v>
      </c>
      <c r="E77" s="8" t="s">
        <v>392</v>
      </c>
      <c r="F77" s="11" t="s">
        <v>33</v>
      </c>
      <c r="G77" s="8" t="s">
        <v>393</v>
      </c>
      <c r="H77" s="8" t="s">
        <v>387</v>
      </c>
      <c r="I77" s="8">
        <v>3</v>
      </c>
      <c r="J77" s="8" t="s">
        <v>103</v>
      </c>
      <c r="K77" s="13" t="s">
        <v>112</v>
      </c>
      <c r="L77" s="18" t="s">
        <v>44</v>
      </c>
      <c r="M77" s="8" t="s">
        <v>135</v>
      </c>
      <c r="N77" s="8" t="s">
        <v>135</v>
      </c>
      <c r="O77" s="8" t="s">
        <v>135</v>
      </c>
      <c r="P77" s="8" t="s">
        <v>171</v>
      </c>
      <c r="Q77" s="8" t="s">
        <v>344</v>
      </c>
      <c r="R77" s="8" t="s">
        <v>389</v>
      </c>
    </row>
    <row r="78" spans="1:18" ht="48" customHeight="1" x14ac:dyDescent="0.35">
      <c r="A78" s="8">
        <v>77</v>
      </c>
      <c r="B78" s="8" t="s">
        <v>61</v>
      </c>
      <c r="C78" s="8" t="s">
        <v>74</v>
      </c>
      <c r="D78" s="8" t="s">
        <v>100</v>
      </c>
      <c r="E78" s="8" t="s">
        <v>394</v>
      </c>
      <c r="F78" s="14" t="s">
        <v>27</v>
      </c>
      <c r="G78" s="8" t="s">
        <v>395</v>
      </c>
      <c r="H78" s="8"/>
      <c r="I78" s="8">
        <v>2</v>
      </c>
      <c r="J78" s="8" t="s">
        <v>103</v>
      </c>
      <c r="K78" s="17" t="s">
        <v>145</v>
      </c>
      <c r="L78" s="18" t="s">
        <v>44</v>
      </c>
      <c r="M78" s="8" t="s">
        <v>135</v>
      </c>
      <c r="N78" s="8" t="s">
        <v>135</v>
      </c>
      <c r="O78" s="8" t="s">
        <v>135</v>
      </c>
      <c r="P78" s="8" t="s">
        <v>171</v>
      </c>
      <c r="Q78" s="8" t="s">
        <v>344</v>
      </c>
      <c r="R78" s="8" t="s">
        <v>396</v>
      </c>
    </row>
    <row r="79" spans="1:18" ht="48" customHeight="1" x14ac:dyDescent="0.35">
      <c r="A79" s="8">
        <v>78</v>
      </c>
      <c r="B79" s="8" t="s">
        <v>61</v>
      </c>
      <c r="C79" s="8" t="s">
        <v>72</v>
      </c>
      <c r="D79" s="8" t="s">
        <v>100</v>
      </c>
      <c r="E79" s="8" t="s">
        <v>397</v>
      </c>
      <c r="F79" s="14" t="s">
        <v>27</v>
      </c>
      <c r="G79" s="8" t="s">
        <v>398</v>
      </c>
      <c r="H79" s="8"/>
      <c r="I79" s="8">
        <v>2</v>
      </c>
      <c r="J79" s="8" t="s">
        <v>103</v>
      </c>
      <c r="K79" s="17" t="s">
        <v>145</v>
      </c>
      <c r="L79" s="16" t="s">
        <v>42</v>
      </c>
      <c r="M79" s="8" t="s">
        <v>135</v>
      </c>
      <c r="N79" s="8" t="s">
        <v>399</v>
      </c>
      <c r="O79" s="8" t="s">
        <v>135</v>
      </c>
      <c r="P79" s="8" t="s">
        <v>171</v>
      </c>
      <c r="Q79" s="8" t="s">
        <v>344</v>
      </c>
      <c r="R79" s="8" t="s">
        <v>320</v>
      </c>
    </row>
    <row r="80" spans="1:18" ht="48" customHeight="1" x14ac:dyDescent="0.35">
      <c r="A80" s="8">
        <v>79</v>
      </c>
      <c r="B80" s="8" t="s">
        <v>61</v>
      </c>
      <c r="C80" s="8" t="s">
        <v>74</v>
      </c>
      <c r="D80" s="8" t="s">
        <v>100</v>
      </c>
      <c r="E80" s="8" t="s">
        <v>400</v>
      </c>
      <c r="F80" s="14" t="s">
        <v>27</v>
      </c>
      <c r="G80" s="8" t="s">
        <v>401</v>
      </c>
      <c r="H80" s="8"/>
      <c r="I80" s="8">
        <v>3</v>
      </c>
      <c r="J80" s="8" t="s">
        <v>144</v>
      </c>
      <c r="K80" s="13" t="s">
        <v>112</v>
      </c>
      <c r="L80" s="11" t="s">
        <v>40</v>
      </c>
      <c r="M80" s="8" t="s">
        <v>135</v>
      </c>
      <c r="N80" s="8" t="s">
        <v>402</v>
      </c>
      <c r="O80" s="8" t="s">
        <v>135</v>
      </c>
      <c r="P80" s="8" t="s">
        <v>171</v>
      </c>
      <c r="Q80" s="8" t="s">
        <v>344</v>
      </c>
      <c r="R80" s="8" t="s">
        <v>297</v>
      </c>
    </row>
    <row r="81" spans="1:18" ht="48" customHeight="1" x14ac:dyDescent="0.35">
      <c r="A81" s="8">
        <v>80</v>
      </c>
      <c r="B81" s="8" t="s">
        <v>61</v>
      </c>
      <c r="C81" s="8" t="s">
        <v>74</v>
      </c>
      <c r="D81" s="8" t="s">
        <v>100</v>
      </c>
      <c r="E81" s="8" t="s">
        <v>403</v>
      </c>
      <c r="F81" s="16" t="s">
        <v>29</v>
      </c>
      <c r="G81" s="8" t="s">
        <v>404</v>
      </c>
      <c r="H81" s="8" t="s">
        <v>311</v>
      </c>
      <c r="I81" s="8">
        <v>4</v>
      </c>
      <c r="J81" s="8" t="s">
        <v>103</v>
      </c>
      <c r="K81" s="10" t="s">
        <v>104</v>
      </c>
      <c r="L81" s="11" t="s">
        <v>40</v>
      </c>
      <c r="M81" s="8" t="s">
        <v>135</v>
      </c>
      <c r="N81" s="8" t="s">
        <v>405</v>
      </c>
      <c r="O81" s="8" t="s">
        <v>135</v>
      </c>
      <c r="P81" s="8" t="s">
        <v>171</v>
      </c>
      <c r="Q81" s="8" t="s">
        <v>344</v>
      </c>
      <c r="R81" s="8" t="s">
        <v>308</v>
      </c>
    </row>
    <row r="82" spans="1:18" ht="48" customHeight="1" x14ac:dyDescent="0.35">
      <c r="A82" s="8">
        <v>81</v>
      </c>
      <c r="B82" s="8" t="s">
        <v>61</v>
      </c>
      <c r="C82" s="8" t="s">
        <v>74</v>
      </c>
      <c r="D82" s="8" t="s">
        <v>100</v>
      </c>
      <c r="E82" s="8" t="s">
        <v>406</v>
      </c>
      <c r="F82" s="14" t="s">
        <v>27</v>
      </c>
      <c r="G82" s="8" t="s">
        <v>407</v>
      </c>
      <c r="H82" s="8"/>
      <c r="I82" s="8">
        <v>3</v>
      </c>
      <c r="J82" s="8" t="s">
        <v>118</v>
      </c>
      <c r="K82" s="10" t="s">
        <v>104</v>
      </c>
      <c r="L82" s="11" t="s">
        <v>40</v>
      </c>
      <c r="M82" s="8" t="s">
        <v>135</v>
      </c>
      <c r="N82" s="8" t="s">
        <v>408</v>
      </c>
      <c r="O82" s="8" t="s">
        <v>409</v>
      </c>
      <c r="P82" s="8" t="s">
        <v>171</v>
      </c>
      <c r="Q82" s="8" t="s">
        <v>410</v>
      </c>
      <c r="R82" s="8" t="s">
        <v>411</v>
      </c>
    </row>
    <row r="83" spans="1:18" ht="48" customHeight="1" x14ac:dyDescent="0.35">
      <c r="A83" s="8">
        <v>82</v>
      </c>
      <c r="B83" s="8" t="s">
        <v>61</v>
      </c>
      <c r="C83" s="8" t="s">
        <v>74</v>
      </c>
      <c r="D83" s="8" t="s">
        <v>100</v>
      </c>
      <c r="E83" s="8" t="s">
        <v>412</v>
      </c>
      <c r="F83" s="14" t="s">
        <v>27</v>
      </c>
      <c r="G83" s="8" t="s">
        <v>413</v>
      </c>
      <c r="H83" s="8"/>
      <c r="I83" s="8">
        <v>3</v>
      </c>
      <c r="J83" s="8" t="s">
        <v>103</v>
      </c>
      <c r="K83" s="13" t="s">
        <v>112</v>
      </c>
      <c r="L83" s="11" t="s">
        <v>40</v>
      </c>
      <c r="M83" s="8" t="s">
        <v>135</v>
      </c>
      <c r="N83" s="8" t="s">
        <v>414</v>
      </c>
      <c r="O83" s="8" t="s">
        <v>135</v>
      </c>
      <c r="P83" s="8" t="s">
        <v>171</v>
      </c>
      <c r="Q83" s="8" t="s">
        <v>410</v>
      </c>
      <c r="R83" s="8" t="s">
        <v>415</v>
      </c>
    </row>
    <row r="84" spans="1:18" ht="48" customHeight="1" x14ac:dyDescent="0.35">
      <c r="A84" s="8">
        <v>83</v>
      </c>
      <c r="B84" s="8" t="s">
        <v>61</v>
      </c>
      <c r="C84" s="8" t="s">
        <v>72</v>
      </c>
      <c r="D84" s="8" t="s">
        <v>100</v>
      </c>
      <c r="E84" s="8" t="s">
        <v>416</v>
      </c>
      <c r="F84" s="16" t="s">
        <v>29</v>
      </c>
      <c r="G84" s="8" t="s">
        <v>417</v>
      </c>
      <c r="H84" s="8" t="s">
        <v>387</v>
      </c>
      <c r="I84" s="8">
        <v>3</v>
      </c>
      <c r="J84" s="8" t="s">
        <v>103</v>
      </c>
      <c r="K84" s="13" t="s">
        <v>112</v>
      </c>
      <c r="L84" s="11" t="s">
        <v>40</v>
      </c>
      <c r="M84" s="8" t="s">
        <v>135</v>
      </c>
      <c r="N84" s="8" t="s">
        <v>418</v>
      </c>
      <c r="O84" s="8" t="s">
        <v>135</v>
      </c>
      <c r="P84" s="8" t="s">
        <v>171</v>
      </c>
      <c r="Q84" s="8" t="s">
        <v>419</v>
      </c>
      <c r="R84" s="8" t="s">
        <v>420</v>
      </c>
    </row>
    <row r="85" spans="1:18" ht="48" customHeight="1" x14ac:dyDescent="0.35">
      <c r="A85" s="8">
        <v>84</v>
      </c>
      <c r="B85" s="8" t="s">
        <v>61</v>
      </c>
      <c r="C85" s="8" t="s">
        <v>72</v>
      </c>
      <c r="D85" s="8" t="s">
        <v>100</v>
      </c>
      <c r="E85" s="8" t="s">
        <v>421</v>
      </c>
      <c r="F85" s="14" t="s">
        <v>27</v>
      </c>
      <c r="G85" s="8" t="s">
        <v>422</v>
      </c>
      <c r="H85" s="8"/>
      <c r="I85" s="8">
        <v>3</v>
      </c>
      <c r="J85" s="8" t="s">
        <v>103</v>
      </c>
      <c r="K85" s="13" t="s">
        <v>112</v>
      </c>
      <c r="L85" s="11" t="s">
        <v>40</v>
      </c>
      <c r="M85" s="8" t="s">
        <v>135</v>
      </c>
      <c r="N85" s="8" t="s">
        <v>423</v>
      </c>
      <c r="O85" s="8" t="s">
        <v>135</v>
      </c>
      <c r="P85" s="8" t="s">
        <v>171</v>
      </c>
      <c r="Q85" s="8" t="s">
        <v>419</v>
      </c>
      <c r="R85" s="8" t="s">
        <v>420</v>
      </c>
    </row>
    <row r="86" spans="1:18" ht="48" customHeight="1" x14ac:dyDescent="0.35">
      <c r="A86" s="8">
        <v>85</v>
      </c>
      <c r="B86" s="8" t="s">
        <v>61</v>
      </c>
      <c r="C86" s="8" t="s">
        <v>70</v>
      </c>
      <c r="D86" s="8" t="s">
        <v>100</v>
      </c>
      <c r="E86" s="8" t="s">
        <v>424</v>
      </c>
      <c r="F86" s="12" t="s">
        <v>31</v>
      </c>
      <c r="G86" s="8" t="s">
        <v>425</v>
      </c>
      <c r="H86" s="8"/>
      <c r="I86" s="8">
        <v>4</v>
      </c>
      <c r="J86" s="8" t="s">
        <v>103</v>
      </c>
      <c r="K86" s="10" t="s">
        <v>104</v>
      </c>
      <c r="L86" s="11" t="s">
        <v>40</v>
      </c>
      <c r="M86" s="8" t="s">
        <v>135</v>
      </c>
      <c r="N86" s="8" t="s">
        <v>426</v>
      </c>
      <c r="O86" s="8" t="s">
        <v>426</v>
      </c>
      <c r="P86" s="8" t="s">
        <v>171</v>
      </c>
      <c r="Q86" s="8" t="s">
        <v>419</v>
      </c>
      <c r="R86" s="8" t="s">
        <v>396</v>
      </c>
    </row>
    <row r="87" spans="1:18" ht="48" customHeight="1" x14ac:dyDescent="0.35">
      <c r="A87" s="8">
        <v>86</v>
      </c>
      <c r="B87" s="8" t="s">
        <v>61</v>
      </c>
      <c r="C87" s="8" t="s">
        <v>70</v>
      </c>
      <c r="D87" s="8" t="s">
        <v>100</v>
      </c>
      <c r="E87" s="8" t="s">
        <v>427</v>
      </c>
      <c r="F87" s="14" t="s">
        <v>27</v>
      </c>
      <c r="G87" s="8" t="s">
        <v>428</v>
      </c>
      <c r="H87" s="8"/>
      <c r="I87" s="8">
        <v>5</v>
      </c>
      <c r="J87" s="8" t="s">
        <v>103</v>
      </c>
      <c r="K87" s="15" t="s">
        <v>131</v>
      </c>
      <c r="L87" s="11" t="s">
        <v>40</v>
      </c>
      <c r="M87" s="8" t="s">
        <v>135</v>
      </c>
      <c r="N87" s="8" t="s">
        <v>429</v>
      </c>
      <c r="O87" s="8" t="s">
        <v>430</v>
      </c>
      <c r="P87" s="8" t="s">
        <v>171</v>
      </c>
      <c r="Q87" s="8" t="s">
        <v>419</v>
      </c>
      <c r="R87" s="8" t="s">
        <v>396</v>
      </c>
    </row>
    <row r="88" spans="1:18" ht="48" customHeight="1" x14ac:dyDescent="0.35">
      <c r="A88" s="8">
        <v>87</v>
      </c>
      <c r="B88" s="8" t="s">
        <v>61</v>
      </c>
      <c r="C88" s="8" t="s">
        <v>70</v>
      </c>
      <c r="D88" s="8" t="s">
        <v>100</v>
      </c>
      <c r="E88" s="8" t="s">
        <v>431</v>
      </c>
      <c r="F88" s="14" t="s">
        <v>27</v>
      </c>
      <c r="G88" s="8" t="s">
        <v>432</v>
      </c>
      <c r="H88" s="8"/>
      <c r="I88" s="8">
        <v>3</v>
      </c>
      <c r="J88" s="8" t="s">
        <v>144</v>
      </c>
      <c r="K88" s="13" t="s">
        <v>112</v>
      </c>
      <c r="L88" s="18" t="s">
        <v>44</v>
      </c>
      <c r="M88" s="8" t="s">
        <v>135</v>
      </c>
      <c r="N88" s="8" t="s">
        <v>135</v>
      </c>
      <c r="O88" s="8" t="s">
        <v>135</v>
      </c>
      <c r="P88" s="8" t="s">
        <v>171</v>
      </c>
      <c r="Q88" s="8" t="s">
        <v>419</v>
      </c>
      <c r="R88" s="8" t="s">
        <v>396</v>
      </c>
    </row>
    <row r="89" spans="1:18" ht="48" customHeight="1" x14ac:dyDescent="0.35">
      <c r="A89" s="8">
        <v>88</v>
      </c>
      <c r="B89" s="8" t="s">
        <v>61</v>
      </c>
      <c r="C89" s="8" t="s">
        <v>72</v>
      </c>
      <c r="D89" s="8" t="s">
        <v>100</v>
      </c>
      <c r="E89" s="8" t="s">
        <v>433</v>
      </c>
      <c r="F89" s="12" t="s">
        <v>31</v>
      </c>
      <c r="G89" s="8" t="s">
        <v>434</v>
      </c>
      <c r="H89" s="8"/>
      <c r="I89" s="8">
        <v>2</v>
      </c>
      <c r="J89" s="8" t="s">
        <v>103</v>
      </c>
      <c r="K89" s="17" t="s">
        <v>145</v>
      </c>
      <c r="L89" s="16" t="s">
        <v>42</v>
      </c>
      <c r="M89" s="8" t="s">
        <v>135</v>
      </c>
      <c r="N89" s="8" t="s">
        <v>435</v>
      </c>
      <c r="O89" s="8" t="s">
        <v>135</v>
      </c>
      <c r="P89" s="8" t="s">
        <v>171</v>
      </c>
      <c r="Q89" s="8" t="s">
        <v>419</v>
      </c>
      <c r="R89" s="8" t="s">
        <v>436</v>
      </c>
    </row>
    <row r="90" spans="1:18" ht="48" customHeight="1" x14ac:dyDescent="0.35">
      <c r="A90" s="8">
        <v>89</v>
      </c>
      <c r="B90" s="8" t="s">
        <v>61</v>
      </c>
      <c r="C90" s="8" t="s">
        <v>78</v>
      </c>
      <c r="D90" s="8" t="s">
        <v>100</v>
      </c>
      <c r="E90" s="8" t="s">
        <v>437</v>
      </c>
      <c r="F90" s="12" t="s">
        <v>31</v>
      </c>
      <c r="G90" s="8" t="s">
        <v>438</v>
      </c>
      <c r="H90" s="8"/>
      <c r="I90" s="8">
        <v>2</v>
      </c>
      <c r="J90" s="8" t="s">
        <v>103</v>
      </c>
      <c r="K90" s="13" t="s">
        <v>112</v>
      </c>
      <c r="L90" s="18" t="s">
        <v>44</v>
      </c>
      <c r="M90" s="8" t="s">
        <v>135</v>
      </c>
      <c r="N90" s="8" t="s">
        <v>135</v>
      </c>
      <c r="O90" s="8" t="s">
        <v>135</v>
      </c>
      <c r="P90" s="8" t="s">
        <v>171</v>
      </c>
      <c r="Q90" s="8" t="s">
        <v>419</v>
      </c>
      <c r="R90" s="8" t="s">
        <v>439</v>
      </c>
    </row>
    <row r="91" spans="1:18" ht="48" customHeight="1" x14ac:dyDescent="0.35">
      <c r="A91" s="8">
        <v>90</v>
      </c>
      <c r="B91" s="8" t="s">
        <v>61</v>
      </c>
      <c r="C91" s="8" t="s">
        <v>78</v>
      </c>
      <c r="D91" s="8" t="s">
        <v>100</v>
      </c>
      <c r="E91" s="8" t="s">
        <v>440</v>
      </c>
      <c r="F91" s="14" t="s">
        <v>27</v>
      </c>
      <c r="G91" s="8" t="s">
        <v>441</v>
      </c>
      <c r="H91" s="8"/>
      <c r="I91" s="8">
        <v>2</v>
      </c>
      <c r="J91" s="8" t="s">
        <v>118</v>
      </c>
      <c r="K91" s="13" t="s">
        <v>112</v>
      </c>
      <c r="L91" s="11" t="s">
        <v>40</v>
      </c>
      <c r="M91" s="8" t="s">
        <v>135</v>
      </c>
      <c r="N91" s="8" t="s">
        <v>442</v>
      </c>
      <c r="O91" s="8" t="s">
        <v>135</v>
      </c>
      <c r="P91" s="8" t="s">
        <v>171</v>
      </c>
      <c r="Q91" s="8" t="s">
        <v>419</v>
      </c>
      <c r="R91" s="8" t="s">
        <v>439</v>
      </c>
    </row>
    <row r="92" spans="1:18" ht="48" customHeight="1" x14ac:dyDescent="0.35">
      <c r="A92" s="8">
        <v>91</v>
      </c>
      <c r="B92" s="8" t="s">
        <v>63</v>
      </c>
      <c r="C92" s="8" t="s">
        <v>80</v>
      </c>
      <c r="D92" s="8" t="s">
        <v>100</v>
      </c>
      <c r="E92" s="8" t="s">
        <v>443</v>
      </c>
      <c r="F92" s="14" t="s">
        <v>27</v>
      </c>
      <c r="G92" s="8" t="s">
        <v>444</v>
      </c>
      <c r="H92" s="8"/>
      <c r="I92" s="8">
        <v>4</v>
      </c>
      <c r="J92" s="8" t="s">
        <v>103</v>
      </c>
      <c r="K92" s="10" t="s">
        <v>104</v>
      </c>
      <c r="L92" s="11" t="s">
        <v>40</v>
      </c>
      <c r="M92" s="8" t="s">
        <v>135</v>
      </c>
      <c r="N92" s="8" t="s">
        <v>445</v>
      </c>
      <c r="O92" s="8" t="s">
        <v>140</v>
      </c>
      <c r="P92" s="8" t="s">
        <v>446</v>
      </c>
      <c r="Q92" s="8" t="s">
        <v>447</v>
      </c>
      <c r="R92" s="8" t="s">
        <v>448</v>
      </c>
    </row>
    <row r="93" spans="1:18" ht="48" customHeight="1" x14ac:dyDescent="0.35">
      <c r="A93" s="8">
        <v>92</v>
      </c>
      <c r="B93" s="8" t="s">
        <v>63</v>
      </c>
      <c r="C93" s="8" t="s">
        <v>80</v>
      </c>
      <c r="D93" s="8" t="s">
        <v>100</v>
      </c>
      <c r="E93" s="8" t="s">
        <v>449</v>
      </c>
      <c r="F93" s="14" t="s">
        <v>27</v>
      </c>
      <c r="G93" s="8" t="s">
        <v>450</v>
      </c>
      <c r="H93" s="8"/>
      <c r="I93" s="8">
        <v>3</v>
      </c>
      <c r="J93" s="8" t="s">
        <v>103</v>
      </c>
      <c r="K93" s="13" t="s">
        <v>112</v>
      </c>
      <c r="L93" s="18" t="s">
        <v>44</v>
      </c>
      <c r="M93" s="8" t="s">
        <v>135</v>
      </c>
      <c r="N93" s="8" t="s">
        <v>135</v>
      </c>
      <c r="O93" s="8" t="s">
        <v>135</v>
      </c>
      <c r="P93" s="8" t="s">
        <v>446</v>
      </c>
      <c r="Q93" s="8" t="s">
        <v>447</v>
      </c>
      <c r="R93" s="8" t="s">
        <v>448</v>
      </c>
    </row>
    <row r="94" spans="1:18" ht="48" customHeight="1" x14ac:dyDescent="0.35">
      <c r="A94" s="8">
        <v>93</v>
      </c>
      <c r="B94" s="8" t="s">
        <v>63</v>
      </c>
      <c r="C94" s="8" t="s">
        <v>80</v>
      </c>
      <c r="D94" s="8" t="s">
        <v>100</v>
      </c>
      <c r="E94" s="8" t="s">
        <v>451</v>
      </c>
      <c r="F94" s="14" t="s">
        <v>27</v>
      </c>
      <c r="G94" s="8" t="s">
        <v>452</v>
      </c>
      <c r="H94" s="8"/>
      <c r="I94" s="8">
        <v>4</v>
      </c>
      <c r="J94" s="8" t="s">
        <v>144</v>
      </c>
      <c r="K94" s="10" t="s">
        <v>104</v>
      </c>
      <c r="L94" s="18" t="s">
        <v>44</v>
      </c>
      <c r="M94" s="8" t="s">
        <v>135</v>
      </c>
      <c r="N94" s="8" t="s">
        <v>135</v>
      </c>
      <c r="O94" s="8" t="s">
        <v>135</v>
      </c>
      <c r="P94" s="8" t="s">
        <v>446</v>
      </c>
      <c r="Q94" s="8" t="s">
        <v>447</v>
      </c>
      <c r="R94" s="8" t="s">
        <v>448</v>
      </c>
    </row>
    <row r="95" spans="1:18" ht="48" customHeight="1" x14ac:dyDescent="0.35">
      <c r="A95" s="8">
        <v>94</v>
      </c>
      <c r="B95" s="8" t="s">
        <v>63</v>
      </c>
      <c r="C95" s="8" t="s">
        <v>80</v>
      </c>
      <c r="D95" s="8" t="s">
        <v>100</v>
      </c>
      <c r="E95" s="8" t="s">
        <v>453</v>
      </c>
      <c r="F95" s="14" t="s">
        <v>27</v>
      </c>
      <c r="G95" s="8" t="s">
        <v>454</v>
      </c>
      <c r="H95" s="8"/>
      <c r="I95" s="8">
        <v>4</v>
      </c>
      <c r="J95" s="8" t="s">
        <v>103</v>
      </c>
      <c r="K95" s="15" t="s">
        <v>131</v>
      </c>
      <c r="L95" s="11" t="s">
        <v>40</v>
      </c>
      <c r="M95" s="8" t="s">
        <v>135</v>
      </c>
      <c r="N95" s="8" t="s">
        <v>455</v>
      </c>
      <c r="O95" s="8" t="s">
        <v>278</v>
      </c>
      <c r="P95" s="8" t="s">
        <v>446</v>
      </c>
      <c r="Q95" s="8" t="s">
        <v>447</v>
      </c>
      <c r="R95" s="8" t="s">
        <v>456</v>
      </c>
    </row>
    <row r="96" spans="1:18" ht="48" customHeight="1" x14ac:dyDescent="0.35">
      <c r="A96" s="8">
        <v>95</v>
      </c>
      <c r="B96" s="8" t="s">
        <v>63</v>
      </c>
      <c r="C96" s="8" t="s">
        <v>80</v>
      </c>
      <c r="D96" s="8" t="s">
        <v>100</v>
      </c>
      <c r="E96" s="8" t="s">
        <v>457</v>
      </c>
      <c r="F96" s="14" t="s">
        <v>27</v>
      </c>
      <c r="G96" s="8" t="s">
        <v>458</v>
      </c>
      <c r="H96" s="8"/>
      <c r="I96" s="8">
        <v>3</v>
      </c>
      <c r="J96" s="8" t="s">
        <v>103</v>
      </c>
      <c r="K96" s="13" t="s">
        <v>112</v>
      </c>
      <c r="L96" s="11" t="s">
        <v>40</v>
      </c>
      <c r="M96" s="8" t="s">
        <v>135</v>
      </c>
      <c r="N96" s="8" t="s">
        <v>459</v>
      </c>
      <c r="O96" s="8" t="s">
        <v>135</v>
      </c>
      <c r="P96" s="8" t="s">
        <v>446</v>
      </c>
      <c r="Q96" s="8" t="s">
        <v>447</v>
      </c>
      <c r="R96" s="8" t="s">
        <v>460</v>
      </c>
    </row>
    <row r="97" spans="1:18" ht="48" customHeight="1" x14ac:dyDescent="0.35">
      <c r="A97" s="8">
        <v>96</v>
      </c>
      <c r="B97" s="8" t="s">
        <v>65</v>
      </c>
      <c r="C97" s="8" t="s">
        <v>70</v>
      </c>
      <c r="D97" s="8" t="s">
        <v>100</v>
      </c>
      <c r="E97" s="8" t="s">
        <v>461</v>
      </c>
      <c r="F97" s="14" t="s">
        <v>27</v>
      </c>
      <c r="G97" s="8" t="s">
        <v>462</v>
      </c>
      <c r="H97" s="8"/>
      <c r="I97" s="8">
        <v>5</v>
      </c>
      <c r="J97" s="8" t="s">
        <v>144</v>
      </c>
      <c r="K97" s="10" t="s">
        <v>104</v>
      </c>
      <c r="L97" s="11" t="s">
        <v>40</v>
      </c>
      <c r="M97" s="8" t="s">
        <v>135</v>
      </c>
      <c r="N97" s="8" t="s">
        <v>463</v>
      </c>
      <c r="O97" s="8" t="s">
        <v>267</v>
      </c>
      <c r="P97" s="8" t="s">
        <v>446</v>
      </c>
      <c r="Q97" s="8" t="s">
        <v>464</v>
      </c>
      <c r="R97" s="8" t="s">
        <v>465</v>
      </c>
    </row>
    <row r="98" spans="1:18" ht="48" customHeight="1" x14ac:dyDescent="0.35">
      <c r="A98" s="8">
        <v>97</v>
      </c>
      <c r="B98" s="8" t="s">
        <v>65</v>
      </c>
      <c r="C98" s="8" t="s">
        <v>70</v>
      </c>
      <c r="D98" s="8" t="s">
        <v>100</v>
      </c>
      <c r="E98" s="8" t="s">
        <v>466</v>
      </c>
      <c r="F98" s="14" t="s">
        <v>27</v>
      </c>
      <c r="G98" s="8" t="s">
        <v>467</v>
      </c>
      <c r="H98" s="8"/>
      <c r="I98" s="8">
        <v>4</v>
      </c>
      <c r="J98" s="8" t="s">
        <v>118</v>
      </c>
      <c r="K98" s="15" t="s">
        <v>131</v>
      </c>
      <c r="L98" s="11" t="s">
        <v>40</v>
      </c>
      <c r="M98" s="8" t="s">
        <v>135</v>
      </c>
      <c r="N98" s="8" t="s">
        <v>468</v>
      </c>
      <c r="O98" s="8" t="s">
        <v>135</v>
      </c>
      <c r="P98" s="8" t="s">
        <v>446</v>
      </c>
      <c r="Q98" s="8" t="s">
        <v>464</v>
      </c>
      <c r="R98" s="8" t="s">
        <v>465</v>
      </c>
    </row>
    <row r="99" spans="1:18" ht="48" customHeight="1" x14ac:dyDescent="0.35">
      <c r="A99" s="8">
        <v>98</v>
      </c>
      <c r="B99" s="8" t="s">
        <v>65</v>
      </c>
      <c r="C99" s="8" t="s">
        <v>70</v>
      </c>
      <c r="D99" s="8" t="s">
        <v>100</v>
      </c>
      <c r="E99" s="8" t="s">
        <v>469</v>
      </c>
      <c r="F99" s="14" t="s">
        <v>27</v>
      </c>
      <c r="G99" s="8" t="s">
        <v>470</v>
      </c>
      <c r="H99" s="8"/>
      <c r="I99" s="8">
        <v>4</v>
      </c>
      <c r="J99" s="8" t="s">
        <v>103</v>
      </c>
      <c r="K99" s="10" t="s">
        <v>104</v>
      </c>
      <c r="L99" s="11" t="s">
        <v>40</v>
      </c>
      <c r="M99" s="8" t="s">
        <v>135</v>
      </c>
      <c r="N99" s="8" t="s">
        <v>471</v>
      </c>
      <c r="O99" s="8" t="s">
        <v>135</v>
      </c>
      <c r="P99" s="8" t="s">
        <v>446</v>
      </c>
      <c r="Q99" s="8" t="s">
        <v>464</v>
      </c>
      <c r="R99" s="8" t="s">
        <v>465</v>
      </c>
    </row>
    <row r="100" spans="1:18" ht="48" customHeight="1" x14ac:dyDescent="0.35">
      <c r="A100" s="8">
        <v>99</v>
      </c>
      <c r="B100" s="8" t="s">
        <v>65</v>
      </c>
      <c r="C100" s="8" t="s">
        <v>82</v>
      </c>
      <c r="D100" s="8" t="s">
        <v>100</v>
      </c>
      <c r="E100" s="8" t="s">
        <v>472</v>
      </c>
      <c r="F100" s="12" t="s">
        <v>31</v>
      </c>
      <c r="G100" s="8" t="s">
        <v>473</v>
      </c>
      <c r="H100" s="8"/>
      <c r="I100" s="8">
        <v>5</v>
      </c>
      <c r="J100" s="8" t="s">
        <v>103</v>
      </c>
      <c r="K100" s="15" t="s">
        <v>131</v>
      </c>
      <c r="L100" s="11" t="s">
        <v>40</v>
      </c>
      <c r="M100" s="8" t="s">
        <v>135</v>
      </c>
      <c r="N100" s="8" t="s">
        <v>474</v>
      </c>
      <c r="O100" s="8" t="s">
        <v>475</v>
      </c>
      <c r="P100" s="8" t="s">
        <v>446</v>
      </c>
      <c r="Q100" s="8" t="s">
        <v>464</v>
      </c>
      <c r="R100" s="8" t="s">
        <v>476</v>
      </c>
    </row>
    <row r="101" spans="1:18" ht="48" customHeight="1" x14ac:dyDescent="0.35">
      <c r="A101" s="8">
        <v>100</v>
      </c>
      <c r="B101" s="8" t="s">
        <v>65</v>
      </c>
      <c r="C101" s="8" t="s">
        <v>82</v>
      </c>
      <c r="D101" s="8" t="s">
        <v>100</v>
      </c>
      <c r="E101" s="8" t="s">
        <v>477</v>
      </c>
      <c r="F101" s="14" t="s">
        <v>27</v>
      </c>
      <c r="G101" s="8" t="s">
        <v>478</v>
      </c>
      <c r="H101" s="8"/>
      <c r="I101" s="8">
        <v>4</v>
      </c>
      <c r="J101" s="8" t="s">
        <v>103</v>
      </c>
      <c r="K101" s="10" t="s">
        <v>104</v>
      </c>
      <c r="L101" s="11" t="s">
        <v>40</v>
      </c>
      <c r="M101" s="8" t="s">
        <v>135</v>
      </c>
      <c r="N101" s="8" t="s">
        <v>479</v>
      </c>
      <c r="O101" s="8" t="s">
        <v>135</v>
      </c>
      <c r="P101" s="8" t="s">
        <v>446</v>
      </c>
      <c r="Q101" s="8" t="s">
        <v>464</v>
      </c>
      <c r="R101" s="8" t="s">
        <v>476</v>
      </c>
    </row>
    <row r="102" spans="1:18" ht="48" customHeight="1" x14ac:dyDescent="0.35">
      <c r="A102" s="8">
        <v>101</v>
      </c>
      <c r="B102" s="8" t="s">
        <v>65</v>
      </c>
      <c r="C102" s="8" t="s">
        <v>82</v>
      </c>
      <c r="D102" s="8" t="s">
        <v>100</v>
      </c>
      <c r="E102" s="8" t="s">
        <v>480</v>
      </c>
      <c r="F102" s="14" t="s">
        <v>27</v>
      </c>
      <c r="G102" s="8" t="s">
        <v>481</v>
      </c>
      <c r="H102" s="8"/>
      <c r="I102" s="8">
        <v>5</v>
      </c>
      <c r="J102" s="8" t="s">
        <v>144</v>
      </c>
      <c r="K102" s="10" t="s">
        <v>104</v>
      </c>
      <c r="L102" s="11" t="s">
        <v>40</v>
      </c>
      <c r="M102" s="8" t="s">
        <v>135</v>
      </c>
      <c r="N102" s="8" t="s">
        <v>482</v>
      </c>
      <c r="O102" s="8" t="s">
        <v>483</v>
      </c>
      <c r="P102" s="8" t="s">
        <v>446</v>
      </c>
      <c r="Q102" s="8" t="s">
        <v>464</v>
      </c>
      <c r="R102" s="8" t="s">
        <v>476</v>
      </c>
    </row>
    <row r="103" spans="1:18" ht="48" customHeight="1" x14ac:dyDescent="0.35">
      <c r="A103" s="8">
        <v>102</v>
      </c>
      <c r="B103" s="8" t="s">
        <v>65</v>
      </c>
      <c r="C103" s="8" t="s">
        <v>82</v>
      </c>
      <c r="D103" s="8" t="s">
        <v>100</v>
      </c>
      <c r="E103" s="8" t="s">
        <v>484</v>
      </c>
      <c r="F103" s="14" t="s">
        <v>27</v>
      </c>
      <c r="G103" s="8" t="s">
        <v>485</v>
      </c>
      <c r="H103" s="8"/>
      <c r="I103" s="8">
        <v>4</v>
      </c>
      <c r="J103" s="8" t="s">
        <v>103</v>
      </c>
      <c r="K103" s="10" t="s">
        <v>104</v>
      </c>
      <c r="L103" s="11" t="s">
        <v>40</v>
      </c>
      <c r="M103" s="8" t="s">
        <v>135</v>
      </c>
      <c r="N103" s="8" t="s">
        <v>486</v>
      </c>
      <c r="O103" s="8" t="s">
        <v>135</v>
      </c>
      <c r="P103" s="8" t="s">
        <v>446</v>
      </c>
      <c r="Q103" s="8" t="s">
        <v>464</v>
      </c>
      <c r="R103" s="8" t="s">
        <v>476</v>
      </c>
    </row>
    <row r="104" spans="1:18" ht="48" customHeight="1" x14ac:dyDescent="0.35">
      <c r="A104" s="8">
        <v>103</v>
      </c>
      <c r="B104" s="8" t="s">
        <v>65</v>
      </c>
      <c r="C104" s="8" t="s">
        <v>82</v>
      </c>
      <c r="D104" s="8" t="s">
        <v>100</v>
      </c>
      <c r="E104" s="8" t="s">
        <v>487</v>
      </c>
      <c r="F104" s="14" t="s">
        <v>27</v>
      </c>
      <c r="G104" s="8" t="s">
        <v>488</v>
      </c>
      <c r="H104" s="8"/>
      <c r="I104" s="8">
        <v>4</v>
      </c>
      <c r="J104" s="8" t="s">
        <v>103</v>
      </c>
      <c r="K104" s="10" t="s">
        <v>104</v>
      </c>
      <c r="L104" s="11" t="s">
        <v>40</v>
      </c>
      <c r="M104" s="8" t="s">
        <v>135</v>
      </c>
      <c r="N104" s="8" t="s">
        <v>489</v>
      </c>
      <c r="O104" s="8" t="s">
        <v>490</v>
      </c>
      <c r="P104" s="8" t="s">
        <v>446</v>
      </c>
      <c r="Q104" s="8" t="s">
        <v>464</v>
      </c>
      <c r="R104" s="8" t="s">
        <v>491</v>
      </c>
    </row>
    <row r="105" spans="1:18" ht="48" customHeight="1" x14ac:dyDescent="0.35">
      <c r="A105" s="8">
        <v>104</v>
      </c>
      <c r="B105" s="8" t="s">
        <v>65</v>
      </c>
      <c r="C105" s="8" t="s">
        <v>82</v>
      </c>
      <c r="D105" s="8" t="s">
        <v>100</v>
      </c>
      <c r="E105" s="8" t="s">
        <v>492</v>
      </c>
      <c r="F105" s="14" t="s">
        <v>27</v>
      </c>
      <c r="G105" s="8" t="s">
        <v>493</v>
      </c>
      <c r="H105" s="8"/>
      <c r="I105" s="8">
        <v>4</v>
      </c>
      <c r="J105" s="8" t="s">
        <v>103</v>
      </c>
      <c r="K105" s="10" t="s">
        <v>104</v>
      </c>
      <c r="L105" s="18" t="s">
        <v>44</v>
      </c>
      <c r="M105" s="8" t="s">
        <v>135</v>
      </c>
      <c r="N105" s="8" t="s">
        <v>135</v>
      </c>
      <c r="O105" s="8" t="s">
        <v>135</v>
      </c>
      <c r="P105" s="8" t="s">
        <v>446</v>
      </c>
      <c r="Q105" s="8" t="s">
        <v>464</v>
      </c>
      <c r="R105" s="8" t="s">
        <v>491</v>
      </c>
    </row>
    <row r="106" spans="1:18" ht="48" customHeight="1" x14ac:dyDescent="0.35">
      <c r="A106" s="8">
        <v>105</v>
      </c>
      <c r="B106" s="8" t="s">
        <v>65</v>
      </c>
      <c r="C106" s="8" t="s">
        <v>82</v>
      </c>
      <c r="D106" s="8" t="s">
        <v>100</v>
      </c>
      <c r="E106" s="8" t="s">
        <v>494</v>
      </c>
      <c r="F106" s="14" t="s">
        <v>27</v>
      </c>
      <c r="G106" s="8" t="s">
        <v>495</v>
      </c>
      <c r="H106" s="8"/>
      <c r="I106" s="8">
        <v>3</v>
      </c>
      <c r="J106" s="8" t="s">
        <v>103</v>
      </c>
      <c r="K106" s="13" t="s">
        <v>112</v>
      </c>
      <c r="L106" s="11" t="s">
        <v>40</v>
      </c>
      <c r="M106" s="8" t="s">
        <v>135</v>
      </c>
      <c r="N106" s="8" t="s">
        <v>496</v>
      </c>
      <c r="O106" s="8" t="s">
        <v>135</v>
      </c>
      <c r="P106" s="8" t="s">
        <v>446</v>
      </c>
      <c r="Q106" s="8" t="s">
        <v>464</v>
      </c>
      <c r="R106" s="8" t="s">
        <v>491</v>
      </c>
    </row>
    <row r="107" spans="1:18" ht="48" customHeight="1" x14ac:dyDescent="0.35">
      <c r="A107" s="8">
        <v>106</v>
      </c>
      <c r="B107" s="8" t="s">
        <v>65</v>
      </c>
      <c r="C107" s="8" t="s">
        <v>70</v>
      </c>
      <c r="D107" s="8" t="s">
        <v>100</v>
      </c>
      <c r="E107" s="8" t="s">
        <v>497</v>
      </c>
      <c r="F107" s="14" t="s">
        <v>27</v>
      </c>
      <c r="G107" s="8" t="s">
        <v>498</v>
      </c>
      <c r="H107" s="8"/>
      <c r="I107" s="8">
        <v>3</v>
      </c>
      <c r="J107" s="8" t="s">
        <v>103</v>
      </c>
      <c r="K107" s="13" t="s">
        <v>112</v>
      </c>
      <c r="L107" s="16" t="s">
        <v>42</v>
      </c>
      <c r="M107" s="8" t="s">
        <v>135</v>
      </c>
      <c r="N107" s="8" t="s">
        <v>135</v>
      </c>
      <c r="O107" s="8" t="s">
        <v>135</v>
      </c>
      <c r="P107" s="8" t="s">
        <v>446</v>
      </c>
      <c r="Q107" s="8" t="s">
        <v>464</v>
      </c>
      <c r="R107" s="8" t="s">
        <v>491</v>
      </c>
    </row>
    <row r="108" spans="1:18" ht="48" customHeight="1" x14ac:dyDescent="0.35">
      <c r="A108" s="8">
        <v>107</v>
      </c>
      <c r="B108" s="8" t="s">
        <v>63</v>
      </c>
      <c r="C108" s="8" t="s">
        <v>80</v>
      </c>
      <c r="D108" s="8" t="s">
        <v>100</v>
      </c>
      <c r="E108" s="8" t="s">
        <v>499</v>
      </c>
      <c r="F108" s="14" t="s">
        <v>27</v>
      </c>
      <c r="G108" s="8" t="s">
        <v>500</v>
      </c>
      <c r="H108" s="8"/>
      <c r="I108" s="8">
        <v>2</v>
      </c>
      <c r="J108" s="8" t="s">
        <v>103</v>
      </c>
      <c r="K108" s="17" t="s">
        <v>145</v>
      </c>
      <c r="L108" s="16" t="s">
        <v>42</v>
      </c>
      <c r="M108" s="8" t="s">
        <v>135</v>
      </c>
      <c r="N108" s="8" t="s">
        <v>501</v>
      </c>
      <c r="O108" s="8" t="s">
        <v>502</v>
      </c>
      <c r="P108" s="8" t="s">
        <v>446</v>
      </c>
      <c r="Q108" s="8" t="s">
        <v>464</v>
      </c>
      <c r="R108" s="8" t="s">
        <v>491</v>
      </c>
    </row>
    <row r="109" spans="1:18" ht="48" customHeight="1" x14ac:dyDescent="0.35">
      <c r="A109" s="8">
        <v>108</v>
      </c>
      <c r="B109" s="8" t="s">
        <v>63</v>
      </c>
      <c r="C109" s="8" t="s">
        <v>80</v>
      </c>
      <c r="D109" s="8" t="s">
        <v>100</v>
      </c>
      <c r="E109" s="8" t="s">
        <v>503</v>
      </c>
      <c r="F109" s="14" t="s">
        <v>27</v>
      </c>
      <c r="G109" s="8" t="s">
        <v>504</v>
      </c>
      <c r="H109" s="8"/>
      <c r="I109" s="8">
        <v>4</v>
      </c>
      <c r="J109" s="8" t="s">
        <v>103</v>
      </c>
      <c r="K109" s="10" t="s">
        <v>104</v>
      </c>
      <c r="L109" s="11" t="s">
        <v>40</v>
      </c>
      <c r="M109" s="8" t="s">
        <v>135</v>
      </c>
      <c r="N109" s="8" t="s">
        <v>505</v>
      </c>
      <c r="O109" s="8" t="s">
        <v>505</v>
      </c>
      <c r="P109" s="8" t="s">
        <v>446</v>
      </c>
      <c r="Q109" s="8" t="s">
        <v>464</v>
      </c>
      <c r="R109" s="8" t="s">
        <v>263</v>
      </c>
    </row>
    <row r="110" spans="1:18" ht="48" customHeight="1" x14ac:dyDescent="0.35">
      <c r="A110" s="8">
        <v>109</v>
      </c>
      <c r="B110" s="8" t="s">
        <v>59</v>
      </c>
      <c r="C110" s="8" t="s">
        <v>68</v>
      </c>
      <c r="D110" s="19" t="s">
        <v>506</v>
      </c>
      <c r="E110" s="8" t="s">
        <v>507</v>
      </c>
      <c r="F110" s="14" t="s">
        <v>27</v>
      </c>
      <c r="G110" s="8" t="s">
        <v>508</v>
      </c>
      <c r="H110" s="8"/>
      <c r="I110" s="8">
        <v>5</v>
      </c>
      <c r="J110" s="8" t="s">
        <v>103</v>
      </c>
      <c r="K110" s="15" t="s">
        <v>131</v>
      </c>
      <c r="L110" s="11" t="s">
        <v>40</v>
      </c>
      <c r="M110" s="8" t="s">
        <v>509</v>
      </c>
      <c r="N110" s="8" t="s">
        <v>509</v>
      </c>
      <c r="O110" s="8" t="s">
        <v>510</v>
      </c>
      <c r="P110" s="8" t="s">
        <v>511</v>
      </c>
      <c r="Q110" s="8" t="s">
        <v>511</v>
      </c>
      <c r="R110" s="8" t="s">
        <v>512</v>
      </c>
    </row>
    <row r="111" spans="1:18" ht="48" customHeight="1" x14ac:dyDescent="0.35">
      <c r="A111" s="8">
        <v>110</v>
      </c>
      <c r="B111" s="8" t="s">
        <v>59</v>
      </c>
      <c r="C111" s="8" t="s">
        <v>68</v>
      </c>
      <c r="D111" s="19" t="s">
        <v>513</v>
      </c>
      <c r="E111" s="8" t="s">
        <v>514</v>
      </c>
      <c r="F111" s="14" t="s">
        <v>27</v>
      </c>
      <c r="G111" s="8" t="s">
        <v>515</v>
      </c>
      <c r="H111" s="8"/>
      <c r="I111" s="8">
        <v>5</v>
      </c>
      <c r="J111" s="8" t="s">
        <v>118</v>
      </c>
      <c r="K111" s="15" t="s">
        <v>131</v>
      </c>
      <c r="L111" s="11" t="s">
        <v>40</v>
      </c>
      <c r="M111" s="8" t="s">
        <v>516</v>
      </c>
      <c r="N111" s="8" t="s">
        <v>517</v>
      </c>
      <c r="O111" s="8" t="s">
        <v>518</v>
      </c>
      <c r="P111" s="8" t="s">
        <v>511</v>
      </c>
      <c r="Q111" s="8" t="s">
        <v>511</v>
      </c>
      <c r="R111" s="8" t="s">
        <v>512</v>
      </c>
    </row>
    <row r="112" spans="1:18" ht="48" customHeight="1" x14ac:dyDescent="0.35">
      <c r="A112" s="8">
        <v>111</v>
      </c>
      <c r="B112" s="8" t="s">
        <v>59</v>
      </c>
      <c r="C112" s="8" t="s">
        <v>70</v>
      </c>
      <c r="D112" s="19" t="s">
        <v>519</v>
      </c>
      <c r="E112" s="8" t="s">
        <v>520</v>
      </c>
      <c r="F112" s="14" t="s">
        <v>27</v>
      </c>
      <c r="G112" s="8" t="s">
        <v>521</v>
      </c>
      <c r="H112" s="8"/>
      <c r="I112" s="8">
        <v>5</v>
      </c>
      <c r="J112" s="8" t="s">
        <v>103</v>
      </c>
      <c r="K112" s="15" t="s">
        <v>131</v>
      </c>
      <c r="L112" s="11" t="s">
        <v>40</v>
      </c>
      <c r="M112" s="8" t="s">
        <v>522</v>
      </c>
      <c r="N112" s="8" t="s">
        <v>523</v>
      </c>
      <c r="O112" s="8" t="s">
        <v>524</v>
      </c>
      <c r="P112" s="8" t="s">
        <v>511</v>
      </c>
      <c r="Q112" s="8" t="s">
        <v>511</v>
      </c>
      <c r="R112" s="8" t="s">
        <v>512</v>
      </c>
    </row>
    <row r="113" spans="1:18" ht="48" customHeight="1" x14ac:dyDescent="0.35">
      <c r="A113" s="8">
        <v>112</v>
      </c>
      <c r="B113" s="8" t="s">
        <v>63</v>
      </c>
      <c r="C113" s="8" t="s">
        <v>80</v>
      </c>
      <c r="D113" s="19" t="s">
        <v>525</v>
      </c>
      <c r="E113" s="8" t="s">
        <v>526</v>
      </c>
      <c r="F113" s="14" t="s">
        <v>27</v>
      </c>
      <c r="G113" s="8" t="s">
        <v>527</v>
      </c>
      <c r="H113" s="8"/>
      <c r="I113" s="8">
        <v>5</v>
      </c>
      <c r="J113" s="8" t="s">
        <v>103</v>
      </c>
      <c r="K113" s="15" t="s">
        <v>131</v>
      </c>
      <c r="L113" s="11" t="s">
        <v>40</v>
      </c>
      <c r="M113" s="8" t="s">
        <v>528</v>
      </c>
      <c r="N113" s="8" t="s">
        <v>529</v>
      </c>
      <c r="O113" s="8" t="s">
        <v>278</v>
      </c>
      <c r="P113" s="8" t="s">
        <v>511</v>
      </c>
      <c r="Q113" s="8" t="s">
        <v>511</v>
      </c>
      <c r="R113" s="8" t="s">
        <v>512</v>
      </c>
    </row>
    <row r="114" spans="1:18" ht="48" customHeight="1" x14ac:dyDescent="0.35">
      <c r="A114" s="8">
        <v>113</v>
      </c>
      <c r="B114" s="8" t="s">
        <v>61</v>
      </c>
      <c r="C114" s="8" t="s">
        <v>76</v>
      </c>
      <c r="D114" s="19" t="s">
        <v>530</v>
      </c>
      <c r="E114" s="8" t="s">
        <v>531</v>
      </c>
      <c r="F114" s="14" t="s">
        <v>27</v>
      </c>
      <c r="G114" s="8" t="s">
        <v>532</v>
      </c>
      <c r="H114" s="8"/>
      <c r="I114" s="8">
        <v>4</v>
      </c>
      <c r="J114" s="8" t="s">
        <v>103</v>
      </c>
      <c r="K114" s="10" t="s">
        <v>104</v>
      </c>
      <c r="L114" s="11" t="s">
        <v>40</v>
      </c>
      <c r="M114" s="8" t="s">
        <v>533</v>
      </c>
      <c r="N114" s="8" t="s">
        <v>534</v>
      </c>
      <c r="O114" s="8" t="s">
        <v>535</v>
      </c>
      <c r="P114" s="8" t="s">
        <v>511</v>
      </c>
      <c r="Q114" s="8" t="s">
        <v>511</v>
      </c>
      <c r="R114" s="8" t="s">
        <v>512</v>
      </c>
    </row>
    <row r="115" spans="1:18" ht="48" customHeight="1" x14ac:dyDescent="0.35">
      <c r="A115" s="8">
        <v>114</v>
      </c>
      <c r="B115" s="8" t="s">
        <v>63</v>
      </c>
      <c r="C115" s="8" t="s">
        <v>80</v>
      </c>
      <c r="D115" s="19" t="s">
        <v>536</v>
      </c>
      <c r="E115" s="8" t="s">
        <v>537</v>
      </c>
      <c r="F115" s="14" t="s">
        <v>27</v>
      </c>
      <c r="G115" s="8" t="s">
        <v>538</v>
      </c>
      <c r="H115" s="8"/>
      <c r="I115" s="8">
        <v>4</v>
      </c>
      <c r="J115" s="8" t="s">
        <v>103</v>
      </c>
      <c r="K115" s="10" t="s">
        <v>104</v>
      </c>
      <c r="L115" s="11" t="s">
        <v>40</v>
      </c>
      <c r="M115" s="8" t="s">
        <v>539</v>
      </c>
      <c r="N115" s="8" t="s">
        <v>540</v>
      </c>
      <c r="O115" s="8" t="s">
        <v>541</v>
      </c>
      <c r="P115" s="8" t="s">
        <v>511</v>
      </c>
      <c r="Q115" s="8" t="s">
        <v>511</v>
      </c>
      <c r="R115" s="8" t="s">
        <v>512</v>
      </c>
    </row>
    <row r="116" spans="1:18" ht="48" customHeight="1" x14ac:dyDescent="0.35">
      <c r="A116" s="8">
        <v>115</v>
      </c>
      <c r="B116" s="8" t="s">
        <v>61</v>
      </c>
      <c r="C116" s="8" t="s">
        <v>76</v>
      </c>
      <c r="D116" s="19" t="s">
        <v>542</v>
      </c>
      <c r="E116" s="8" t="s">
        <v>543</v>
      </c>
      <c r="F116" s="14" t="s">
        <v>27</v>
      </c>
      <c r="G116" s="8" t="s">
        <v>544</v>
      </c>
      <c r="H116" s="8"/>
      <c r="I116" s="8">
        <v>4</v>
      </c>
      <c r="J116" s="8" t="s">
        <v>118</v>
      </c>
      <c r="K116" s="15" t="s">
        <v>131</v>
      </c>
      <c r="L116" s="11" t="s">
        <v>40</v>
      </c>
      <c r="M116" s="8" t="s">
        <v>545</v>
      </c>
      <c r="N116" s="8" t="s">
        <v>546</v>
      </c>
      <c r="O116" s="8" t="s">
        <v>547</v>
      </c>
      <c r="P116" s="8" t="s">
        <v>511</v>
      </c>
      <c r="Q116" s="8" t="s">
        <v>511</v>
      </c>
      <c r="R116" s="8" t="s">
        <v>512</v>
      </c>
    </row>
  </sheetData>
  <autoFilter ref="A1:R11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zoomScaleNormal="100" workbookViewId="0">
      <selection activeCell="A6" sqref="A6"/>
    </sheetView>
  </sheetViews>
  <sheetFormatPr defaultColWidth="8.6328125" defaultRowHeight="14.5" x14ac:dyDescent="0.35"/>
  <cols>
    <col min="1" max="1" width="24" customWidth="1"/>
    <col min="2" max="9" width="13" customWidth="1"/>
  </cols>
  <sheetData>
    <row r="1" spans="1:8" x14ac:dyDescent="0.35">
      <c r="A1" s="20" t="s">
        <v>548</v>
      </c>
      <c r="H1" s="21" t="s">
        <v>549</v>
      </c>
    </row>
    <row r="2" spans="1:8" x14ac:dyDescent="0.35">
      <c r="A2" s="22"/>
      <c r="B2" s="23" t="s">
        <v>131</v>
      </c>
      <c r="C2" s="23" t="s">
        <v>104</v>
      </c>
      <c r="D2" s="23" t="s">
        <v>112</v>
      </c>
      <c r="E2" s="23" t="s">
        <v>145</v>
      </c>
      <c r="F2" s="23" t="s">
        <v>550</v>
      </c>
    </row>
    <row r="3" spans="1:8" x14ac:dyDescent="0.35">
      <c r="A3" s="24" t="s">
        <v>59</v>
      </c>
      <c r="B3" s="25">
        <f>COUNTIFS(Findings!$B$2:$B$116,$A3,Findings!$K$2:$K$116,B$2)</f>
        <v>9</v>
      </c>
      <c r="C3" s="25">
        <f>COUNTIFS(Findings!$B$2:$B$116,$A3,Findings!$K$2:$K$116,C$2)</f>
        <v>9</v>
      </c>
      <c r="D3" s="25">
        <f>COUNTIFS(Findings!$B$2:$B$116,$A3,Findings!$K$2:$K$116,D$2)</f>
        <v>9</v>
      </c>
      <c r="E3" s="25">
        <f>COUNTIFS(Findings!$B$2:$B$116,$A3,Findings!$K$2:$K$116,E$2)</f>
        <v>0</v>
      </c>
      <c r="F3" s="26">
        <f>SUM(B3:E3)</f>
        <v>27</v>
      </c>
    </row>
    <row r="4" spans="1:8" x14ac:dyDescent="0.35">
      <c r="A4" s="24" t="s">
        <v>61</v>
      </c>
      <c r="B4" s="25">
        <f>COUNTIFS(Findings!$B$2:$B$116,$A4,Findings!$K$2:$K$116,B$2)</f>
        <v>4</v>
      </c>
      <c r="C4" s="25">
        <f>COUNTIFS(Findings!$B$2:$B$116,$A4,Findings!$K$2:$K$116,C$2)</f>
        <v>19</v>
      </c>
      <c r="D4" s="25">
        <f>COUNTIFS(Findings!$B$2:$B$116,$A4,Findings!$K$2:$K$116,D$2)</f>
        <v>18</v>
      </c>
      <c r="E4" s="25">
        <f>COUNTIFS(Findings!$B$2:$B$116,$A4,Findings!$K$2:$K$116,E$2)</f>
        <v>11</v>
      </c>
      <c r="F4" s="26">
        <f>SUM(B4:E4)</f>
        <v>52</v>
      </c>
    </row>
    <row r="5" spans="1:8" x14ac:dyDescent="0.35">
      <c r="A5" s="24" t="s">
        <v>63</v>
      </c>
      <c r="B5" s="25">
        <f>COUNTIFS(Findings!$B$2:$B$116,$A5,Findings!$K$2:$K$116,B$2)</f>
        <v>3</v>
      </c>
      <c r="C5" s="25">
        <f>COUNTIFS(Findings!$B$2:$B$116,$A5,Findings!$K$2:$K$116,C$2)</f>
        <v>11</v>
      </c>
      <c r="D5" s="25">
        <f>COUNTIFS(Findings!$B$2:$B$116,$A5,Findings!$K$2:$K$116,D$2)</f>
        <v>9</v>
      </c>
      <c r="E5" s="25">
        <f>COUNTIFS(Findings!$B$2:$B$116,$A5,Findings!$K$2:$K$116,E$2)</f>
        <v>2</v>
      </c>
      <c r="F5" s="26">
        <f>SUM(B5:E5)</f>
        <v>25</v>
      </c>
    </row>
    <row r="6" spans="1:8" x14ac:dyDescent="0.35">
      <c r="A6" s="24" t="s">
        <v>65</v>
      </c>
      <c r="B6" s="25">
        <f>COUNTIFS(Findings!$B$2:$B$116,$A6,Findings!$K$2:$K$116,B$2)</f>
        <v>2</v>
      </c>
      <c r="C6" s="25">
        <f>COUNTIFS(Findings!$B$2:$B$116,$A6,Findings!$K$2:$K$116,C$2)</f>
        <v>7</v>
      </c>
      <c r="D6" s="25">
        <f>COUNTIFS(Findings!$B$2:$B$116,$A6,Findings!$K$2:$K$116,D$2)</f>
        <v>2</v>
      </c>
      <c r="E6" s="25">
        <f>COUNTIFS(Findings!$B$2:$B$116,$A6,Findings!$K$2:$K$116,E$2)</f>
        <v>0</v>
      </c>
      <c r="F6" s="26">
        <f>SUM(B6:E6)</f>
        <v>11</v>
      </c>
    </row>
    <row r="7" spans="1:8" x14ac:dyDescent="0.35">
      <c r="A7" s="27" t="s">
        <v>550</v>
      </c>
      <c r="B7" s="26">
        <f>SUM(B3:B6)</f>
        <v>18</v>
      </c>
      <c r="C7" s="26">
        <f>SUM(C3:C6)</f>
        <v>46</v>
      </c>
      <c r="D7" s="26">
        <f>SUM(D3:D6)</f>
        <v>38</v>
      </c>
      <c r="E7" s="26">
        <f>SUM(E3:E6)</f>
        <v>13</v>
      </c>
      <c r="F7" s="26">
        <f>SUM(F3:F6)</f>
        <v>115</v>
      </c>
    </row>
    <row r="9" spans="1:8" x14ac:dyDescent="0.35">
      <c r="A9" s="20" t="s">
        <v>551</v>
      </c>
    </row>
    <row r="10" spans="1:8" x14ac:dyDescent="0.35">
      <c r="A10" s="22"/>
      <c r="B10" s="23" t="s">
        <v>131</v>
      </c>
      <c r="C10" s="23" t="s">
        <v>104</v>
      </c>
      <c r="D10" s="23" t="s">
        <v>112</v>
      </c>
      <c r="E10" s="23" t="s">
        <v>145</v>
      </c>
      <c r="F10" s="23" t="s">
        <v>550</v>
      </c>
    </row>
    <row r="11" spans="1:8" x14ac:dyDescent="0.35">
      <c r="A11" s="24" t="s">
        <v>68</v>
      </c>
      <c r="B11" s="25">
        <f>COUNTIFS(Findings!$C$2:$C$116,$A11,Findings!$K$2:$K$116,B$10)</f>
        <v>7</v>
      </c>
      <c r="C11" s="25">
        <f>COUNTIFS(Findings!$C$2:$C$116,$A11,Findings!$K$2:$K$116,C$10)</f>
        <v>6</v>
      </c>
      <c r="D11" s="25">
        <f>COUNTIFS(Findings!$C$2:$C$116,$A11,Findings!$K$2:$K$116,D$10)</f>
        <v>3</v>
      </c>
      <c r="E11" s="25">
        <f>COUNTIFS(Findings!$C$2:$C$116,$A11,Findings!$K$2:$K$116,E$10)</f>
        <v>0</v>
      </c>
      <c r="F11" s="26">
        <f t="shared" ref="F11:F18" si="0">SUM(B11:E11)</f>
        <v>16</v>
      </c>
    </row>
    <row r="12" spans="1:8" x14ac:dyDescent="0.35">
      <c r="A12" s="24" t="s">
        <v>70</v>
      </c>
      <c r="B12" s="25">
        <f>COUNTIFS(Findings!$C$2:$C$116,$A12,Findings!$K$2:$K$116,B$10)</f>
        <v>4</v>
      </c>
      <c r="C12" s="25">
        <f>COUNTIFS(Findings!$C$2:$C$116,$A12,Findings!$K$2:$K$116,C$10)</f>
        <v>11</v>
      </c>
      <c r="D12" s="25">
        <f>COUNTIFS(Findings!$C$2:$C$116,$A12,Findings!$K$2:$K$116,D$10)</f>
        <v>4</v>
      </c>
      <c r="E12" s="25">
        <f>COUNTIFS(Findings!$C$2:$C$116,$A12,Findings!$K$2:$K$116,E$10)</f>
        <v>0</v>
      </c>
      <c r="F12" s="26">
        <f t="shared" si="0"/>
        <v>19</v>
      </c>
    </row>
    <row r="13" spans="1:8" x14ac:dyDescent="0.35">
      <c r="A13" s="24" t="s">
        <v>72</v>
      </c>
      <c r="B13" s="25">
        <f>COUNTIFS(Findings!$C$2:$C$116,$A13,Findings!$K$2:$K$116,B$10)</f>
        <v>0</v>
      </c>
      <c r="C13" s="25">
        <f>COUNTIFS(Findings!$C$2:$C$116,$A13,Findings!$K$2:$K$116,C$10)</f>
        <v>1</v>
      </c>
      <c r="D13" s="25">
        <f>COUNTIFS(Findings!$C$2:$C$116,$A13,Findings!$K$2:$K$116,D$10)</f>
        <v>8</v>
      </c>
      <c r="E13" s="25">
        <f>COUNTIFS(Findings!$C$2:$C$116,$A13,Findings!$K$2:$K$116,E$10)</f>
        <v>2</v>
      </c>
      <c r="F13" s="26">
        <f t="shared" si="0"/>
        <v>11</v>
      </c>
    </row>
    <row r="14" spans="1:8" x14ac:dyDescent="0.35">
      <c r="A14" s="24" t="s">
        <v>74</v>
      </c>
      <c r="B14" s="25">
        <f>COUNTIFS(Findings!$C$2:$C$116,$A14,Findings!$K$2:$K$116,B$10)</f>
        <v>1</v>
      </c>
      <c r="C14" s="25">
        <f>COUNTIFS(Findings!$C$2:$C$116,$A14,Findings!$K$2:$K$116,C$10)</f>
        <v>6</v>
      </c>
      <c r="D14" s="25">
        <f>COUNTIFS(Findings!$C$2:$C$116,$A14,Findings!$K$2:$K$116,D$10)</f>
        <v>4</v>
      </c>
      <c r="E14" s="25">
        <f>COUNTIFS(Findings!$C$2:$C$116,$A14,Findings!$K$2:$K$116,E$10)</f>
        <v>5</v>
      </c>
      <c r="F14" s="26">
        <f t="shared" si="0"/>
        <v>16</v>
      </c>
    </row>
    <row r="15" spans="1:8" x14ac:dyDescent="0.35">
      <c r="A15" s="24" t="s">
        <v>76</v>
      </c>
      <c r="B15" s="25">
        <f>COUNTIFS(Findings!$C$2:$C$116,$A15,Findings!$K$2:$K$116,B$10)</f>
        <v>2</v>
      </c>
      <c r="C15" s="25">
        <f>COUNTIFS(Findings!$C$2:$C$116,$A15,Findings!$K$2:$K$116,C$10)</f>
        <v>4</v>
      </c>
      <c r="D15" s="25">
        <f>COUNTIFS(Findings!$C$2:$C$116,$A15,Findings!$K$2:$K$116,D$10)</f>
        <v>3</v>
      </c>
      <c r="E15" s="25">
        <f>COUNTIFS(Findings!$C$2:$C$116,$A15,Findings!$K$2:$K$116,E$10)</f>
        <v>2</v>
      </c>
      <c r="F15" s="26">
        <f t="shared" si="0"/>
        <v>11</v>
      </c>
    </row>
    <row r="16" spans="1:8" x14ac:dyDescent="0.35">
      <c r="A16" s="24" t="s">
        <v>78</v>
      </c>
      <c r="B16" s="25">
        <f>COUNTIFS(Findings!$C$2:$C$116,$A16,Findings!$K$2:$K$116,B$10)</f>
        <v>0</v>
      </c>
      <c r="C16" s="25">
        <f>COUNTIFS(Findings!$C$2:$C$116,$A16,Findings!$K$2:$K$116,C$10)</f>
        <v>2</v>
      </c>
      <c r="D16" s="25">
        <f>COUNTIFS(Findings!$C$2:$C$116,$A16,Findings!$K$2:$K$116,D$10)</f>
        <v>6</v>
      </c>
      <c r="E16" s="25">
        <f>COUNTIFS(Findings!$C$2:$C$116,$A16,Findings!$K$2:$K$116,E$10)</f>
        <v>2</v>
      </c>
      <c r="F16" s="26">
        <f t="shared" si="0"/>
        <v>10</v>
      </c>
    </row>
    <row r="17" spans="1:6" x14ac:dyDescent="0.35">
      <c r="A17" s="24" t="s">
        <v>80</v>
      </c>
      <c r="B17" s="25">
        <f>COUNTIFS(Findings!$C$2:$C$116,$A17,Findings!$K$2:$K$116,B$10)</f>
        <v>3</v>
      </c>
      <c r="C17" s="25">
        <f>COUNTIFS(Findings!$C$2:$C$116,$A17,Findings!$K$2:$K$116,C$10)</f>
        <v>11</v>
      </c>
      <c r="D17" s="25">
        <f>COUNTIFS(Findings!$C$2:$C$116,$A17,Findings!$K$2:$K$116,D$10)</f>
        <v>9</v>
      </c>
      <c r="E17" s="25">
        <f>COUNTIFS(Findings!$C$2:$C$116,$A17,Findings!$K$2:$K$116,E$10)</f>
        <v>2</v>
      </c>
      <c r="F17" s="26">
        <f t="shared" si="0"/>
        <v>25</v>
      </c>
    </row>
    <row r="18" spans="1:6" x14ac:dyDescent="0.35">
      <c r="A18" s="24" t="s">
        <v>82</v>
      </c>
      <c r="B18" s="25">
        <f>COUNTIFS(Findings!$C$2:$C$116,$A18,Findings!$K$2:$K$116,B$10)</f>
        <v>1</v>
      </c>
      <c r="C18" s="25">
        <f>COUNTIFS(Findings!$C$2:$C$116,$A18,Findings!$K$2:$K$116,C$10)</f>
        <v>5</v>
      </c>
      <c r="D18" s="25">
        <f>COUNTIFS(Findings!$C$2:$C$116,$A18,Findings!$K$2:$K$116,D$10)</f>
        <v>1</v>
      </c>
      <c r="E18" s="25">
        <f>COUNTIFS(Findings!$C$2:$C$116,$A18,Findings!$K$2:$K$116,E$10)</f>
        <v>0</v>
      </c>
      <c r="F18" s="26">
        <f t="shared" si="0"/>
        <v>7</v>
      </c>
    </row>
    <row r="19" spans="1:6" x14ac:dyDescent="0.35">
      <c r="A19" s="27" t="s">
        <v>550</v>
      </c>
      <c r="B19" s="26">
        <f>SUM(B11:B18)</f>
        <v>18</v>
      </c>
      <c r="C19" s="26">
        <f>SUM(C11:C18)</f>
        <v>46</v>
      </c>
      <c r="D19" s="26">
        <f>SUM(D11:D18)</f>
        <v>38</v>
      </c>
      <c r="E19" s="26">
        <f>SUM(E11:E18)</f>
        <v>13</v>
      </c>
      <c r="F19" s="26">
        <f>SUM(F11:F18)</f>
        <v>115</v>
      </c>
    </row>
    <row r="21" spans="1:6" x14ac:dyDescent="0.35">
      <c r="A21" s="20" t="s">
        <v>552</v>
      </c>
    </row>
    <row r="22" spans="1:6" x14ac:dyDescent="0.35">
      <c r="A22" s="28" t="s">
        <v>88</v>
      </c>
      <c r="B22" s="28" t="s">
        <v>553</v>
      </c>
    </row>
    <row r="23" spans="1:6" x14ac:dyDescent="0.35">
      <c r="A23" s="24" t="s">
        <v>27</v>
      </c>
      <c r="B23" s="25">
        <f>COUNTIF(Findings!$F$2:$F$116,$A23)</f>
        <v>85</v>
      </c>
    </row>
    <row r="24" spans="1:6" x14ac:dyDescent="0.35">
      <c r="A24" s="24" t="s">
        <v>29</v>
      </c>
      <c r="B24" s="25">
        <f>COUNTIF(Findings!$F$2:$F$116,$A24)</f>
        <v>8</v>
      </c>
    </row>
    <row r="25" spans="1:6" x14ac:dyDescent="0.35">
      <c r="A25" s="24" t="s">
        <v>31</v>
      </c>
      <c r="B25" s="25">
        <f>COUNTIF(Findings!$F$2:$F$116,$A25)</f>
        <v>11</v>
      </c>
    </row>
    <row r="26" spans="1:6" x14ac:dyDescent="0.35">
      <c r="A26" s="24" t="s">
        <v>33</v>
      </c>
      <c r="B26" s="25">
        <f>COUNTIF(Findings!$F$2:$F$116,$A26)</f>
        <v>2</v>
      </c>
    </row>
    <row r="27" spans="1:6" x14ac:dyDescent="0.35">
      <c r="A27" s="24" t="s">
        <v>35</v>
      </c>
      <c r="B27" s="25">
        <f>COUNTIF(Findings!$F$2:$F$116,$A27)</f>
        <v>9</v>
      </c>
    </row>
    <row r="29" spans="1:6" x14ac:dyDescent="0.35">
      <c r="A29" s="20" t="s">
        <v>554</v>
      </c>
    </row>
    <row r="30" spans="1:6" x14ac:dyDescent="0.35">
      <c r="A30" s="28" t="s">
        <v>93</v>
      </c>
      <c r="B30" s="28" t="s">
        <v>553</v>
      </c>
    </row>
    <row r="31" spans="1:6" x14ac:dyDescent="0.35">
      <c r="A31" s="24" t="s">
        <v>40</v>
      </c>
      <c r="B31" s="25">
        <f>COUNTIF(Findings!$L$2:$L$116,$A31)</f>
        <v>86</v>
      </c>
    </row>
    <row r="32" spans="1:6" x14ac:dyDescent="0.35">
      <c r="A32" s="24" t="s">
        <v>42</v>
      </c>
      <c r="B32" s="25">
        <f>COUNTIF(Findings!$L$2:$L$116,$A32)</f>
        <v>19</v>
      </c>
    </row>
    <row r="33" spans="1:2" x14ac:dyDescent="0.35">
      <c r="A33" s="24" t="s">
        <v>44</v>
      </c>
      <c r="B33" s="25">
        <f>COUNTIF(Findings!$L$2:$L$116,$A33)</f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zoomScaleNormal="100" workbookViewId="0">
      <selection activeCell="D13" sqref="D13"/>
    </sheetView>
  </sheetViews>
  <sheetFormatPr defaultColWidth="8.6328125" defaultRowHeight="14.5" x14ac:dyDescent="0.35"/>
  <cols>
    <col min="1" max="1" width="14" customWidth="1"/>
    <col min="2" max="2" width="12" customWidth="1"/>
    <col min="3" max="3" width="26" customWidth="1"/>
    <col min="4" max="4" width="74" customWidth="1"/>
  </cols>
  <sheetData>
    <row r="1" spans="1:4" x14ac:dyDescent="0.35">
      <c r="A1" s="28" t="s">
        <v>90</v>
      </c>
      <c r="B1" s="28" t="s">
        <v>555</v>
      </c>
      <c r="C1" s="28" t="s">
        <v>556</v>
      </c>
      <c r="D1" s="28" t="s">
        <v>557</v>
      </c>
    </row>
    <row r="2" spans="1:4" ht="31.5" customHeight="1" x14ac:dyDescent="0.35">
      <c r="A2" s="8" t="s">
        <v>218</v>
      </c>
      <c r="B2" s="8" t="s">
        <v>558</v>
      </c>
      <c r="C2" s="8" t="s">
        <v>559</v>
      </c>
      <c r="D2" s="8" t="s">
        <v>560</v>
      </c>
    </row>
    <row r="3" spans="1:4" ht="31.5" customHeight="1" x14ac:dyDescent="0.35">
      <c r="A3" s="8" t="s">
        <v>176</v>
      </c>
      <c r="B3" s="8" t="s">
        <v>561</v>
      </c>
      <c r="C3" s="8" t="s">
        <v>562</v>
      </c>
      <c r="D3" s="8" t="s">
        <v>563</v>
      </c>
    </row>
    <row r="4" spans="1:4" ht="31.5" customHeight="1" x14ac:dyDescent="0.35">
      <c r="A4" s="8" t="s">
        <v>256</v>
      </c>
      <c r="B4" s="8" t="s">
        <v>564</v>
      </c>
      <c r="C4" s="8" t="s">
        <v>565</v>
      </c>
      <c r="D4" s="8" t="s">
        <v>566</v>
      </c>
    </row>
    <row r="5" spans="1:4" ht="31.5" customHeight="1" x14ac:dyDescent="0.35">
      <c r="A5" s="8" t="s">
        <v>342</v>
      </c>
      <c r="B5" s="8" t="s">
        <v>567</v>
      </c>
      <c r="C5" s="8" t="s">
        <v>568</v>
      </c>
      <c r="D5" s="8" t="s">
        <v>569</v>
      </c>
    </row>
    <row r="6" spans="1:4" ht="31.5" customHeight="1" x14ac:dyDescent="0.35">
      <c r="A6" s="8" t="s">
        <v>387</v>
      </c>
      <c r="B6" s="8" t="s">
        <v>570</v>
      </c>
      <c r="C6" s="8" t="s">
        <v>571</v>
      </c>
      <c r="D6" s="8" t="s">
        <v>572</v>
      </c>
    </row>
    <row r="7" spans="1:4" ht="31.5" customHeight="1" x14ac:dyDescent="0.35">
      <c r="A7" s="8" t="s">
        <v>311</v>
      </c>
      <c r="B7" s="8" t="s">
        <v>573</v>
      </c>
      <c r="C7" s="8" t="s">
        <v>574</v>
      </c>
      <c r="D7" s="8" t="s">
        <v>575</v>
      </c>
    </row>
    <row r="9" spans="1:4" x14ac:dyDescent="0.35">
      <c r="A9" s="29" t="s">
        <v>576</v>
      </c>
    </row>
    <row r="11" spans="1:4" x14ac:dyDescent="0.35">
      <c r="A11" s="20" t="s">
        <v>577</v>
      </c>
    </row>
    <row r="12" spans="1:4" x14ac:dyDescent="0.35">
      <c r="A12" s="28" t="s">
        <v>578</v>
      </c>
      <c r="B12" s="28" t="s">
        <v>579</v>
      </c>
      <c r="C12" s="28" t="s">
        <v>580</v>
      </c>
    </row>
    <row r="13" spans="1:4" ht="30" customHeight="1" x14ac:dyDescent="0.35">
      <c r="A13" s="8" t="s">
        <v>581</v>
      </c>
      <c r="B13" s="8" t="s">
        <v>582</v>
      </c>
      <c r="C13" s="8" t="s">
        <v>583</v>
      </c>
    </row>
    <row r="14" spans="1:4" ht="30" customHeight="1" x14ac:dyDescent="0.35">
      <c r="A14" s="8" t="s">
        <v>584</v>
      </c>
      <c r="B14" s="8" t="s">
        <v>585</v>
      </c>
      <c r="C14" s="8" t="s">
        <v>586</v>
      </c>
    </row>
    <row r="15" spans="1:4" ht="30" customHeight="1" x14ac:dyDescent="0.35">
      <c r="A15" s="8" t="s">
        <v>587</v>
      </c>
      <c r="B15" s="8" t="s">
        <v>588</v>
      </c>
      <c r="C15" s="8" t="s">
        <v>589</v>
      </c>
    </row>
    <row r="16" spans="1:4" ht="30" customHeight="1" x14ac:dyDescent="0.35">
      <c r="A16" s="8" t="s">
        <v>590</v>
      </c>
      <c r="B16" s="8" t="s">
        <v>591</v>
      </c>
      <c r="C16" s="8" t="s">
        <v>592</v>
      </c>
    </row>
    <row r="17" spans="1:3" ht="30" customHeight="1" x14ac:dyDescent="0.35">
      <c r="A17" s="8" t="s">
        <v>593</v>
      </c>
      <c r="B17" s="8" t="s">
        <v>558</v>
      </c>
      <c r="C17" s="8" t="s">
        <v>594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Findings</vt:lpstr>
      <vt:lpstr>Roll-up</vt:lpstr>
      <vt:lpstr>Merge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Atamuk (A)</cp:lastModifiedBy>
  <cp:revision>0</cp:revision>
  <dcterms:created xsi:type="dcterms:W3CDTF">2026-09-10T17:06:25Z</dcterms:created>
  <dcterms:modified xsi:type="dcterms:W3CDTF">2026-09-14T08:39:44Z</dcterms:modified>
  <dc:language>en-US</dc:language>
</cp:coreProperties>
</file>